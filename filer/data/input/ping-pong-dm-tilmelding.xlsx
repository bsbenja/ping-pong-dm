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customXml/itemProps81.xml" ContentType="application/vnd.openxmlformats-officedocument.customXmlProperties+xml"/>
  <Override PartName="/customXml/itemProps82.xml" ContentType="application/vnd.openxmlformats-officedocument.customXmlProperties+xml"/>
  <Override PartName="/customXml/itemProps83.xml" ContentType="application/vnd.openxmlformats-officedocument.customXmlProperties+xml"/>
  <Override PartName="/customXml/itemProps84.xml" ContentType="application/vnd.openxmlformats-officedocument.customXmlProperties+xml"/>
  <Override PartName="/customXml/itemProps85.xml" ContentType="application/vnd.openxmlformats-officedocument.customXmlProperties+xml"/>
  <Override PartName="/customXml/itemProps86.xml" ContentType="application/vnd.openxmlformats-officedocument.customXmlProperties+xml"/>
  <Override PartName="/customXml/itemProps87.xml" ContentType="application/vnd.openxmlformats-officedocument.customXmlProperties+xml"/>
  <Override PartName="/customXml/itemProps88.xml" ContentType="application/vnd.openxmlformats-officedocument.customXmlProperties+xml"/>
  <Override PartName="/customXml/itemProps89.xml" ContentType="application/vnd.openxmlformats-officedocument.customXmlProperties+xml"/>
  <Override PartName="/customXml/itemProps90.xml" ContentType="application/vnd.openxmlformats-officedocument.customXmlProperties+xml"/>
  <Override PartName="/customXml/itemProps91.xml" ContentType="application/vnd.openxmlformats-officedocument.customXmlProperties+xml"/>
  <Override PartName="/customXml/itemProps92.xml" ContentType="application/vnd.openxmlformats-officedocument.customXmlProperties+xml"/>
  <Override PartName="/customXml/itemProps93.xml" ContentType="application/vnd.openxmlformats-officedocument.customXmlProperties+xml"/>
  <Override PartName="/customXml/itemProps94.xml" ContentType="application/vnd.openxmlformats-officedocument.customXmlProperties+xml"/>
  <Override PartName="/customXml/itemProps95.xml" ContentType="application/vnd.openxmlformats-officedocument.customXmlProperties+xml"/>
  <Override PartName="/customXml/itemProps96.xml" ContentType="application/vnd.openxmlformats-officedocument.customXmlProperties+xml"/>
  <Override PartName="/customXml/itemProps97.xml" ContentType="application/vnd.openxmlformats-officedocument.customXmlProperties+xml"/>
  <Override PartName="/customXml/itemProps98.xml" ContentType="application/vnd.openxmlformats-officedocument.customXmlProperties+xml"/>
  <Override PartName="/customXml/itemProps99.xml" ContentType="application/vnd.openxmlformats-officedocument.customXmlProperties+xml"/>
  <Override PartName="/customXml/itemProps100.xml" ContentType="application/vnd.openxmlformats-officedocument.customXmlProperties+xml"/>
  <Override PartName="/customXml/itemProps101.xml" ContentType="application/vnd.openxmlformats-officedocument.customXmlProperties+xml"/>
  <Override PartName="/customXml/itemProps102.xml" ContentType="application/vnd.openxmlformats-officedocument.customXmlProperties+xml"/>
  <Override PartName="/customXml/itemProps103.xml" ContentType="application/vnd.openxmlformats-officedocument.customXmlProperties+xml"/>
  <Override PartName="/customXml/itemProps104.xml" ContentType="application/vnd.openxmlformats-officedocument.customXmlProperties+xml"/>
  <Override PartName="/customXml/itemProps105.xml" ContentType="application/vnd.openxmlformats-officedocument.customXmlProperties+xml"/>
  <Override PartName="/customXml/itemProps106.xml" ContentType="application/vnd.openxmlformats-officedocument.customXmlProperties+xml"/>
  <Override PartName="/customXml/itemProps107.xml" ContentType="application/vnd.openxmlformats-officedocument.customXmlProperties+xml"/>
  <Override PartName="/customXml/itemProps108.xml" ContentType="application/vnd.openxmlformats-officedocument.customXmlProperties+xml"/>
  <Override PartName="/customXml/itemProps109.xml" ContentType="application/vnd.openxmlformats-officedocument.customXmlProperties+xml"/>
  <Override PartName="/customXml/itemProps110.xml" ContentType="application/vnd.openxmlformats-officedocument.customXmlProperties+xml"/>
  <Override PartName="/customXml/itemProps111.xml" ContentType="application/vnd.openxmlformats-officedocument.customXmlProperties+xml"/>
  <Override PartName="/customXml/itemProps112.xml" ContentType="application/vnd.openxmlformats-officedocument.customXmlProperties+xml"/>
  <Override PartName="/customXml/itemProps113.xml" ContentType="application/vnd.openxmlformats-officedocument.customXmlProperties+xml"/>
  <Override PartName="/customXml/itemProps114.xml" ContentType="application/vnd.openxmlformats-officedocument.customXmlProperties+xml"/>
  <Override PartName="/customXml/itemProps115.xml" ContentType="application/vnd.openxmlformats-officedocument.customXmlProperties+xml"/>
  <Override PartName="/customXml/itemProps116.xml" ContentType="application/vnd.openxmlformats-officedocument.customXmlProperties+xml"/>
  <Override PartName="/customXml/itemProps117.xml" ContentType="application/vnd.openxmlformats-officedocument.customXmlProperties+xml"/>
  <Override PartName="/customXml/itemProps118.xml" ContentType="application/vnd.openxmlformats-officedocument.customXmlProperties+xml"/>
  <Override PartName="/customXml/itemProps119.xml" ContentType="application/vnd.openxmlformats-officedocument.customXmlProperties+xml"/>
  <Override PartName="/customXml/itemProps120.xml" ContentType="application/vnd.openxmlformats-officedocument.customXmlProperties+xml"/>
  <Override PartName="/customXml/itemProps121.xml" ContentType="application/vnd.openxmlformats-officedocument.customXmlProperties+xml"/>
  <Override PartName="/customXml/itemProps122.xml" ContentType="application/vnd.openxmlformats-officedocument.customXmlProperties+xml"/>
  <Override PartName="/customXml/itemProps123.xml" ContentType="application/vnd.openxmlformats-officedocument.customXmlProperties+xml"/>
  <Override PartName="/customXml/itemProps124.xml" ContentType="application/vnd.openxmlformats-officedocument.customXmlProperties+xml"/>
  <Override PartName="/customXml/itemProps125.xml" ContentType="application/vnd.openxmlformats-officedocument.customXmlProperties+xml"/>
  <Override PartName="/customXml/itemProps126.xml" ContentType="application/vnd.openxmlformats-officedocument.customXmlProperties+xml"/>
  <Override PartName="/customXml/itemProps127.xml" ContentType="application/vnd.openxmlformats-officedocument.customXmlProperties+xml"/>
  <Override PartName="/customXml/itemProps128.xml" ContentType="application/vnd.openxmlformats-officedocument.customXmlProperties+xml"/>
  <Override PartName="/customXml/itemProps129.xml" ContentType="application/vnd.openxmlformats-officedocument.customXmlProperties+xml"/>
  <Override PartName="/customXml/itemProps130.xml" ContentType="application/vnd.openxmlformats-officedocument.customXmlProperties+xml"/>
  <Override PartName="/customXml/itemProps131.xml" ContentType="application/vnd.openxmlformats-officedocument.customXmlProperties+xml"/>
  <Override PartName="/customXml/itemProps132.xml" ContentType="application/vnd.openxmlformats-officedocument.customXmlProperties+xml"/>
  <Override PartName="/customXml/itemProps133.xml" ContentType="application/vnd.openxmlformats-officedocument.customXmlProperties+xml"/>
  <Override PartName="/customXml/itemProps134.xml" ContentType="application/vnd.openxmlformats-officedocument.customXmlProperties+xml"/>
  <Override PartName="/customXml/itemProps135.xml" ContentType="application/vnd.openxmlformats-officedocument.customXmlProperties+xml"/>
  <Override PartName="/customXml/itemProps136.xml" ContentType="application/vnd.openxmlformats-officedocument.customXmlProperties+xml"/>
  <Override PartName="/customXml/itemProps137.xml" ContentType="application/vnd.openxmlformats-officedocument.customXmlProperties+xml"/>
  <Override PartName="/customXml/itemProps138.xml" ContentType="application/vnd.openxmlformats-officedocument.customXmlProperties+xml"/>
  <Override PartName="/customXml/itemProps139.xml" ContentType="application/vnd.openxmlformats-officedocument.customXmlProperties+xml"/>
  <Override PartName="/customXml/itemProps140.xml" ContentType="application/vnd.openxmlformats-officedocument.customXmlProperties+xml"/>
  <Override PartName="/customXml/itemProps141.xml" ContentType="application/vnd.openxmlformats-officedocument.customXmlProperties+xml"/>
  <Override PartName="/customXml/itemProps142.xml" ContentType="application/vnd.openxmlformats-officedocument.customXmlProperties+xml"/>
  <Override PartName="/customXml/itemProps143.xml" ContentType="application/vnd.openxmlformats-officedocument.customXmlProperties+xml"/>
  <Override PartName="/customXml/itemProps144.xml" ContentType="application/vnd.openxmlformats-officedocument.customXmlProperties+xml"/>
  <Override PartName="/customXml/itemProps145.xml" ContentType="application/vnd.openxmlformats-officedocument.customXmlProperties+xml"/>
  <Override PartName="/customXml/itemProps146.xml" ContentType="application/vnd.openxmlformats-officedocument.customXmlProperties+xml"/>
  <Override PartName="/customXml/itemProps147.xml" ContentType="application/vnd.openxmlformats-officedocument.customXmlProperties+xml"/>
  <Override PartName="/customXml/itemProps148.xml" ContentType="application/vnd.openxmlformats-officedocument.customXmlProperties+xml"/>
  <Override PartName="/customXml/itemProps149.xml" ContentType="application/vnd.openxmlformats-officedocument.customXmlProperties+xml"/>
  <Override PartName="/customXml/itemProps150.xml" ContentType="application/vnd.openxmlformats-officedocument.customXmlProperties+xml"/>
  <Override PartName="/customXml/itemProps151.xml" ContentType="application/vnd.openxmlformats-officedocument.customXmlProperties+xml"/>
  <Override PartName="/customXml/itemProps152.xml" ContentType="application/vnd.openxmlformats-officedocument.customXmlProperties+xml"/>
  <Override PartName="/customXml/itemProps153.xml" ContentType="application/vnd.openxmlformats-officedocument.customXmlProperties+xml"/>
  <Override PartName="/customXml/itemProps154.xml" ContentType="application/vnd.openxmlformats-officedocument.customXmlProperties+xml"/>
  <Override PartName="/customXml/itemProps155.xml" ContentType="application/vnd.openxmlformats-officedocument.customXmlProperties+xml"/>
  <Override PartName="/customXml/itemProps156.xml" ContentType="application/vnd.openxmlformats-officedocument.customXmlProperties+xml"/>
  <Override PartName="/customXml/itemProps157.xml" ContentType="application/vnd.openxmlformats-officedocument.customXmlProperties+xml"/>
  <Override PartName="/customXml/itemProps158.xml" ContentType="application/vnd.openxmlformats-officedocument.customXmlProperties+xml"/>
  <Override PartName="/customXml/itemProps159.xml" ContentType="application/vnd.openxmlformats-officedocument.customXmlProperties+xml"/>
  <Override PartName="/customXml/itemProps160.xml" ContentType="application/vnd.openxmlformats-officedocument.customXmlProperties+xml"/>
  <Override PartName="/customXml/itemProps161.xml" ContentType="application/vnd.openxmlformats-officedocument.customXmlProperties+xml"/>
  <Override PartName="/customXml/itemProps162.xml" ContentType="application/vnd.openxmlformats-officedocument.customXmlProperties+xml"/>
  <Override PartName="/customXml/itemProps163.xml" ContentType="application/vnd.openxmlformats-officedocument.customXmlProperties+xml"/>
  <Override PartName="/customXml/itemProps164.xml" ContentType="application/vnd.openxmlformats-officedocument.customXmlProperties+xml"/>
  <Override PartName="/customXml/itemProps165.xml" ContentType="application/vnd.openxmlformats-officedocument.customXmlProperties+xml"/>
  <Override PartName="/customXml/itemProps166.xml" ContentType="application/vnd.openxmlformats-officedocument.customXmlProperties+xml"/>
  <Override PartName="/customXml/itemProps167.xml" ContentType="application/vnd.openxmlformats-officedocument.customXmlProperties+xml"/>
  <Override PartName="/customXml/itemProps168.xml" ContentType="application/vnd.openxmlformats-officedocument.customXmlProperties+xml"/>
  <Override PartName="/customXml/itemProps169.xml" ContentType="application/vnd.openxmlformats-officedocument.customXmlProperties+xml"/>
  <Override PartName="/customXml/itemProps170.xml" ContentType="application/vnd.openxmlformats-officedocument.customXmlProperties+xml"/>
  <Override PartName="/customXml/itemProps171.xml" ContentType="application/vnd.openxmlformats-officedocument.customXmlProperties+xml"/>
  <Override PartName="/customXml/itemProps172.xml" ContentType="application/vnd.openxmlformats-officedocument.customXmlProperties+xml"/>
  <Override PartName="/customXml/itemProps173.xml" ContentType="application/vnd.openxmlformats-officedocument.customXmlProperties+xml"/>
  <Override PartName="/customXml/itemProps174.xml" ContentType="application/vnd.openxmlformats-officedocument.customXmlProperties+xml"/>
  <Override PartName="/customXml/itemProps175.xml" ContentType="application/vnd.openxmlformats-officedocument.customXmlProperties+xml"/>
  <Override PartName="/customXml/itemProps176.xml" ContentType="application/vnd.openxmlformats-officedocument.customXmlProperties+xml"/>
  <Override PartName="/customXml/itemProps177.xml" ContentType="application/vnd.openxmlformats-officedocument.customXmlProperties+xml"/>
  <Override PartName="/customXml/itemProps178.xml" ContentType="application/vnd.openxmlformats-officedocument.customXmlProperties+xml"/>
  <Override PartName="/customXml/itemProps179.xml" ContentType="application/vnd.openxmlformats-officedocument.customXmlProperties+xml"/>
  <Override PartName="/customXml/itemProps180.xml" ContentType="application/vnd.openxmlformats-officedocument.customXmlProperties+xml"/>
  <Override PartName="/customXml/itemProps181.xml" ContentType="application/vnd.openxmlformats-officedocument.customXmlProperties+xml"/>
  <Override PartName="/customXml/itemProps182.xml" ContentType="application/vnd.openxmlformats-officedocument.customXmlProperties+xml"/>
  <Override PartName="/customXml/itemProps183.xml" ContentType="application/vnd.openxmlformats-officedocument.customXmlProperties+xml"/>
  <Override PartName="/customXml/itemProps184.xml" ContentType="application/vnd.openxmlformats-officedocument.customXmlProperties+xml"/>
  <Override PartName="/customXml/itemProps185.xml" ContentType="application/vnd.openxmlformats-officedocument.customXmlProperties+xml"/>
  <Override PartName="/customXml/itemProps186.xml" ContentType="application/vnd.openxmlformats-officedocument.customXmlProperties+xml"/>
  <Override PartName="/customXml/itemProps187.xml" ContentType="application/vnd.openxmlformats-officedocument.customXmlProperties+xml"/>
  <Override PartName="/customXml/itemProps188.xml" ContentType="application/vnd.openxmlformats-officedocument.customXmlProperties+xml"/>
  <Override PartName="/customXml/itemProps189.xml" ContentType="application/vnd.openxmlformats-officedocument.customXmlProperties+xml"/>
  <Override PartName="/customXml/itemProps190.xml" ContentType="application/vnd.openxmlformats-officedocument.customXmlProperties+xml"/>
  <Override PartName="/customXml/itemProps191.xml" ContentType="application/vnd.openxmlformats-officedocument.customXmlProperties+xml"/>
  <Override PartName="/customXml/itemProps192.xml" ContentType="application/vnd.openxmlformats-officedocument.customXmlProperties+xml"/>
  <Override PartName="/customXml/itemProps193.xml" ContentType="application/vnd.openxmlformats-officedocument.customXmlProperties+xml"/>
  <Override PartName="/customXml/itemProps194.xml" ContentType="application/vnd.openxmlformats-officedocument.customXmlProperties+xml"/>
  <Override PartName="/customXml/itemProps195.xml" ContentType="application/vnd.openxmlformats-officedocument.customXmlProperties+xml"/>
  <Override PartName="/customXml/itemProps196.xml" ContentType="application/vnd.openxmlformats-officedocument.customXmlProperties+xml"/>
  <Override PartName="/customXml/itemProps197.xml" ContentType="application/vnd.openxmlformats-officedocument.customXmlProperties+xml"/>
  <Override PartName="/customXml/itemProps198.xml" ContentType="application/vnd.openxmlformats-officedocument.customXmlProperties+xml"/>
  <Override PartName="/customXml/itemProps199.xml" ContentType="application/vnd.openxmlformats-officedocument.customXmlProperties+xml"/>
  <Override PartName="/customXml/itemProps200.xml" ContentType="application/vnd.openxmlformats-officedocument.customXmlProperties+xml"/>
  <Override PartName="/customXml/itemProps201.xml" ContentType="application/vnd.openxmlformats-officedocument.customXmlProperties+xml"/>
  <Override PartName="/customXml/itemProps202.xml" ContentType="application/vnd.openxmlformats-officedocument.customXmlProperties+xml"/>
  <Override PartName="/customXml/itemProps203.xml" ContentType="application/vnd.openxmlformats-officedocument.customXmlProperties+xml"/>
  <Override PartName="/customXml/itemProps204.xml" ContentType="application/vnd.openxmlformats-officedocument.customXmlProperties+xml"/>
  <Override PartName="/customXml/itemProps205.xml" ContentType="application/vnd.openxmlformats-officedocument.customXmlProperties+xml"/>
  <Override PartName="/customXml/itemProps206.xml" ContentType="application/vnd.openxmlformats-officedocument.customXmlProperties+xml"/>
  <Override PartName="/customXml/itemProps207.xml" ContentType="application/vnd.openxmlformats-officedocument.customXmlProperties+xml"/>
  <Override PartName="/customXml/itemProps208.xml" ContentType="application/vnd.openxmlformats-officedocument.customXmlProperties+xml"/>
  <Override PartName="/customXml/itemProps209.xml" ContentType="application/vnd.openxmlformats-officedocument.customXmlProperties+xml"/>
  <Override PartName="/customXml/itemProps210.xml" ContentType="application/vnd.openxmlformats-officedocument.customXmlProperties+xml"/>
  <Override PartName="/customXml/itemProps211.xml" ContentType="application/vnd.openxmlformats-officedocument.customXmlProperties+xml"/>
  <Override PartName="/customXml/itemProps212.xml" ContentType="application/vnd.openxmlformats-officedocument.customXmlProperties+xml"/>
  <Override PartName="/customXml/itemProps213.xml" ContentType="application/vnd.openxmlformats-officedocument.customXmlProperties+xml"/>
  <Override PartName="/customXml/itemProps214.xml" ContentType="application/vnd.openxmlformats-officedocument.customXmlProperties+xml"/>
  <Override PartName="/customXml/itemProps215.xml" ContentType="application/vnd.openxmlformats-officedocument.customXmlProperties+xml"/>
  <Override PartName="/customXml/itemProps216.xml" ContentType="application/vnd.openxmlformats-officedocument.customXmlProperties+xml"/>
  <Override PartName="/customXml/itemProps217.xml" ContentType="application/vnd.openxmlformats-officedocument.customXmlProperties+xml"/>
  <Override PartName="/customXml/itemProps218.xml" ContentType="application/vnd.openxmlformats-officedocument.customXmlProperties+xml"/>
  <Override PartName="/customXml/itemProps219.xml" ContentType="application/vnd.openxmlformats-officedocument.customXmlProperties+xml"/>
  <Override PartName="/customXml/itemProps220.xml" ContentType="application/vnd.openxmlformats-officedocument.customXmlProperties+xml"/>
  <Override PartName="/customXml/itemProps221.xml" ContentType="application/vnd.openxmlformats-officedocument.customXmlProperties+xml"/>
  <Override PartName="/customXml/itemProps222.xml" ContentType="application/vnd.openxmlformats-officedocument.customXmlProperties+xml"/>
  <Override PartName="/customXml/itemProps223.xml" ContentType="application/vnd.openxmlformats-officedocument.customXmlProperties+xml"/>
  <Override PartName="/customXml/itemProps224.xml" ContentType="application/vnd.openxmlformats-officedocument.customXmlProperties+xml"/>
  <Override PartName="/customXml/itemProps225.xml" ContentType="application/vnd.openxmlformats-officedocument.customXmlProperties+xml"/>
  <Override PartName="/customXml/itemProps226.xml" ContentType="application/vnd.openxmlformats-officedocument.customXmlProperties+xml"/>
  <Override PartName="/customXml/itemProps227.xml" ContentType="application/vnd.openxmlformats-officedocument.customXmlProperties+xml"/>
  <Override PartName="/customXml/itemProps228.xml" ContentType="application/vnd.openxmlformats-officedocument.customXmlProperties+xml"/>
  <Override PartName="/customXml/itemProps229.xml" ContentType="application/vnd.openxmlformats-officedocument.customXmlProperties+xml"/>
  <Override PartName="/customXml/itemProps230.xml" ContentType="application/vnd.openxmlformats-officedocument.customXmlProperties+xml"/>
  <Override PartName="/customXml/itemProps231.xml" ContentType="application/vnd.openxmlformats-officedocument.customXmlProperties+xml"/>
  <Override PartName="/customXml/itemProps232.xml" ContentType="application/vnd.openxmlformats-officedocument.customXmlProperties+xml"/>
  <Override PartName="/customXml/itemProps233.xml" ContentType="application/vnd.openxmlformats-officedocument.customXmlProperties+xml"/>
  <Override PartName="/customXml/itemProps234.xml" ContentType="application/vnd.openxmlformats-officedocument.customXmlProperties+xml"/>
  <Override PartName="/customXml/itemProps235.xml" ContentType="application/vnd.openxmlformats-officedocument.customXmlProperties+xml"/>
  <Override PartName="/customXml/itemProps236.xml" ContentType="application/vnd.openxmlformats-officedocument.customXmlProperties+xml"/>
  <Override PartName="/customXml/itemProps237.xml" ContentType="application/vnd.openxmlformats-officedocument.customXmlProperties+xml"/>
  <Override PartName="/customXml/itemProps238.xml" ContentType="application/vnd.openxmlformats-officedocument.customXmlProperties+xml"/>
  <Override PartName="/customXml/itemProps239.xml" ContentType="application/vnd.openxmlformats-officedocument.customXmlProperties+xml"/>
  <Override PartName="/customXml/itemProps240.xml" ContentType="application/vnd.openxmlformats-officedocument.customXmlProperties+xml"/>
  <Override PartName="/customXml/itemProps241.xml" ContentType="application/vnd.openxmlformats-officedocument.customXmlProperties+xml"/>
  <Override PartName="/customXml/itemProps242.xml" ContentType="application/vnd.openxmlformats-officedocument.customXmlProperties+xml"/>
  <Override PartName="/customXml/itemProps243.xml" ContentType="application/vnd.openxmlformats-officedocument.customXmlProperties+xml"/>
  <Override PartName="/customXml/itemProps244.xml" ContentType="application/vnd.openxmlformats-officedocument.customXmlProperties+xml"/>
  <Override PartName="/customXml/itemProps245.xml" ContentType="application/vnd.openxmlformats-officedocument.customXmlProperties+xml"/>
  <Override PartName="/customXml/itemProps246.xml" ContentType="application/vnd.openxmlformats-officedocument.customXmlProperties+xml"/>
  <Override PartName="/customXml/itemProps247.xml" ContentType="application/vnd.openxmlformats-officedocument.customXmlProperties+xml"/>
  <Override PartName="/customXml/itemProps248.xml" ContentType="application/vnd.openxmlformats-officedocument.customXmlProperties+xml"/>
  <Override PartName="/customXml/itemProps249.xml" ContentType="application/vnd.openxmlformats-officedocument.customXmlProperties+xml"/>
  <Override PartName="/customXml/itemProps250.xml" ContentType="application/vnd.openxmlformats-officedocument.customXmlProperties+xml"/>
  <Override PartName="/customXml/itemProps251.xml" ContentType="application/vnd.openxmlformats-officedocument.customXmlProperties+xml"/>
  <Override PartName="/customXml/itemProps252.xml" ContentType="application/vnd.openxmlformats-officedocument.customXmlProperties+xml"/>
  <Override PartName="/customXml/itemProps253.xml" ContentType="application/vnd.openxmlformats-officedocument.customXmlProperties+xml"/>
  <Override PartName="/customXml/itemProps254.xml" ContentType="application/vnd.openxmlformats-officedocument.customXmlProperties+xml"/>
  <Override PartName="/customXml/itemProps255.xml" ContentType="application/vnd.openxmlformats-officedocument.customXmlProperties+xml"/>
  <Override PartName="/customXml/itemProps256.xml" ContentType="application/vnd.openxmlformats-officedocument.customXmlProperties+xml"/>
  <Override PartName="/customXml/itemProps257.xml" ContentType="application/vnd.openxmlformats-officedocument.customXmlProperties+xml"/>
  <Override PartName="/customXml/itemProps258.xml" ContentType="application/vnd.openxmlformats-officedocument.customXmlProperties+xml"/>
  <Override PartName="/customXml/itemProps259.xml" ContentType="application/vnd.openxmlformats-officedocument.customXmlProperties+xml"/>
  <Override PartName="/customXml/itemProps260.xml" ContentType="application/vnd.openxmlformats-officedocument.customXmlProperties+xml"/>
  <Override PartName="/customXml/itemProps261.xml" ContentType="application/vnd.openxmlformats-officedocument.customXmlProperties+xml"/>
  <Override PartName="/customXml/itemProps262.xml" ContentType="application/vnd.openxmlformats-officedocument.customXmlProperties+xml"/>
  <Override PartName="/customXml/itemProps263.xml" ContentType="application/vnd.openxmlformats-officedocument.customXmlProperties+xml"/>
  <Override PartName="/customXml/itemProps264.xml" ContentType="application/vnd.openxmlformats-officedocument.customXmlProperties+xml"/>
  <Override PartName="/customXml/itemProps265.xml" ContentType="application/vnd.openxmlformats-officedocument.customXmlProperties+xml"/>
  <Override PartName="/customXml/itemProps266.xml" ContentType="application/vnd.openxmlformats-officedocument.customXmlProperties+xml"/>
  <Override PartName="/customXml/itemProps267.xml" ContentType="application/vnd.openxmlformats-officedocument.customXmlProperties+xml"/>
  <Override PartName="/customXml/itemProps268.xml" ContentType="application/vnd.openxmlformats-officedocument.customXmlProperties+xml"/>
  <Override PartName="/customXml/itemProps269.xml" ContentType="application/vnd.openxmlformats-officedocument.customXmlProperties+xml"/>
  <Override PartName="/customXml/itemProps270.xml" ContentType="application/vnd.openxmlformats-officedocument.customXmlProperties+xml"/>
  <Override PartName="/customXml/itemProps271.xml" ContentType="application/vnd.openxmlformats-officedocument.customXmlProperties+xml"/>
  <Override PartName="/customXml/itemProps272.xml" ContentType="application/vnd.openxmlformats-officedocument.customXmlProperties+xml"/>
  <Override PartName="/customXml/itemProps273.xml" ContentType="application/vnd.openxmlformats-officedocument.customXmlProperties+xml"/>
  <Override PartName="/customXml/itemProps274.xml" ContentType="application/vnd.openxmlformats-officedocument.customXmlProperties+xml"/>
  <Override PartName="/customXml/itemProps275.xml" ContentType="application/vnd.openxmlformats-officedocument.customXmlProperties+xml"/>
  <Override PartName="/customXml/itemProps276.xml" ContentType="application/vnd.openxmlformats-officedocument.customXmlProperties+xml"/>
  <Override PartName="/customXml/itemProps277.xml" ContentType="application/vnd.openxmlformats-officedocument.customXmlProperties+xml"/>
  <Override PartName="/customXml/itemProps278.xml" ContentType="application/vnd.openxmlformats-officedocument.customXmlProperties+xml"/>
  <Override PartName="/customXml/itemProps279.xml" ContentType="application/vnd.openxmlformats-officedocument.customXmlProperties+xml"/>
  <Override PartName="/customXml/itemProps280.xml" ContentType="application/vnd.openxmlformats-officedocument.customXmlProperties+xml"/>
  <Override PartName="/customXml/itemProps281.xml" ContentType="application/vnd.openxmlformats-officedocument.customXmlProperties+xml"/>
  <Override PartName="/customXml/itemProps282.xml" ContentType="application/vnd.openxmlformats-officedocument.customXmlProperties+xml"/>
  <Override PartName="/customXml/itemProps283.xml" ContentType="application/vnd.openxmlformats-officedocument.customXmlProperties+xml"/>
  <Override PartName="/customXml/itemProps284.xml" ContentType="application/vnd.openxmlformats-officedocument.customXmlProperties+xml"/>
  <Override PartName="/customXml/itemProps285.xml" ContentType="application/vnd.openxmlformats-officedocument.customXmlProperties+xml"/>
  <Override PartName="/customXml/itemProps286.xml" ContentType="application/vnd.openxmlformats-officedocument.customXmlProperties+xml"/>
  <Override PartName="/customXml/itemProps287.xml" ContentType="application/vnd.openxmlformats-officedocument.customXmlProperties+xml"/>
  <Override PartName="/customXml/itemProps288.xml" ContentType="application/vnd.openxmlformats-officedocument.customXmlProperties+xml"/>
  <Override PartName="/customXml/itemProps289.xml" ContentType="application/vnd.openxmlformats-officedocument.customXmlProperties+xml"/>
  <Override PartName="/customXml/itemProps290.xml" ContentType="application/vnd.openxmlformats-officedocument.customXmlProperties+xml"/>
  <Override PartName="/customXml/itemProps291.xml" ContentType="application/vnd.openxmlformats-officedocument.customXmlProperties+xml"/>
  <Override PartName="/customXml/itemProps292.xml" ContentType="application/vnd.openxmlformats-officedocument.customXmlProperties+xml"/>
  <Override PartName="/customXml/itemProps293.xml" ContentType="application/vnd.openxmlformats-officedocument.customXmlProperties+xml"/>
  <Override PartName="/customXml/itemProps294.xml" ContentType="application/vnd.openxmlformats-officedocument.customXmlProperties+xml"/>
  <Override PartName="/customXml/itemProps295.xml" ContentType="application/vnd.openxmlformats-officedocument.customXmlProperties+xml"/>
  <Override PartName="/customXml/itemProps296.xml" ContentType="application/vnd.openxmlformats-officedocument.customXmlProperties+xml"/>
  <Override PartName="/customXml/itemProps297.xml" ContentType="application/vnd.openxmlformats-officedocument.customXmlProperties+xml"/>
  <Override PartName="/customXml/itemProps298.xml" ContentType="application/vnd.openxmlformats-officedocument.customXmlProperties+xml"/>
  <Override PartName="/customXml/itemProps299.xml" ContentType="application/vnd.openxmlformats-officedocument.customXmlProperties+xml"/>
  <Override PartName="/customXml/itemProps300.xml" ContentType="application/vnd.openxmlformats-officedocument.customXmlProperties+xml"/>
  <Override PartName="/customXml/itemProps301.xml" ContentType="application/vnd.openxmlformats-officedocument.customXmlProperties+xml"/>
  <Override PartName="/customXml/itemProps302.xml" ContentType="application/vnd.openxmlformats-officedocument.customXmlProperties+xml"/>
  <Override PartName="/customXml/itemProps303.xml" ContentType="application/vnd.openxmlformats-officedocument.customXmlProperties+xml"/>
  <Override PartName="/customXml/itemProps304.xml" ContentType="application/vnd.openxmlformats-officedocument.customXmlProperties+xml"/>
  <Override PartName="/customXml/itemProps305.xml" ContentType="application/vnd.openxmlformats-officedocument.customXmlProperties+xml"/>
  <Override PartName="/customXml/itemProps306.xml" ContentType="application/vnd.openxmlformats-officedocument.customXmlProperties+xml"/>
  <Override PartName="/customXml/itemProps307.xml" ContentType="application/vnd.openxmlformats-officedocument.customXmlProperties+xml"/>
  <Override PartName="/customXml/itemProps308.xml" ContentType="application/vnd.openxmlformats-officedocument.customXmlProperties+xml"/>
  <Override PartName="/customXml/itemProps309.xml" ContentType="application/vnd.openxmlformats-officedocument.customXmlProperties+xml"/>
  <Override PartName="/customXml/itemProps310.xml" ContentType="application/vnd.openxmlformats-officedocument.customXmlProperties+xml"/>
  <Override PartName="/customXml/itemProps311.xml" ContentType="application/vnd.openxmlformats-officedocument.customXmlProperties+xml"/>
  <Override PartName="/customXml/itemProps312.xml" ContentType="application/vnd.openxmlformats-officedocument.customXmlProperties+xml"/>
  <Override PartName="/customXml/itemProps313.xml" ContentType="application/vnd.openxmlformats-officedocument.customXmlProperties+xml"/>
  <Override PartName="/customXml/itemProps314.xml" ContentType="application/vnd.openxmlformats-officedocument.customXmlProperties+xml"/>
  <Override PartName="/customXml/itemProps315.xml" ContentType="application/vnd.openxmlformats-officedocument.customXmlProperties+xml"/>
  <Override PartName="/customXml/itemProps316.xml" ContentType="application/vnd.openxmlformats-officedocument.customXmlProperties+xml"/>
  <Override PartName="/customXml/itemProps317.xml" ContentType="application/vnd.openxmlformats-officedocument.customXmlProperties+xml"/>
  <Override PartName="/customXml/itemProps318.xml" ContentType="application/vnd.openxmlformats-officedocument.customXmlProperties+xml"/>
  <Override PartName="/customXml/itemProps319.xml" ContentType="application/vnd.openxmlformats-officedocument.customXmlProperties+xml"/>
  <Override PartName="/customXml/itemProps320.xml" ContentType="application/vnd.openxmlformats-officedocument.customXmlProperties+xml"/>
  <Override PartName="/customXml/itemProps321.xml" ContentType="application/vnd.openxmlformats-officedocument.customXmlProperties+xml"/>
  <Override PartName="/customXml/itemProps322.xml" ContentType="application/vnd.openxmlformats-officedocument.customXmlProperties+xml"/>
  <Override PartName="/customXml/itemProps323.xml" ContentType="application/vnd.openxmlformats-officedocument.customXmlProperties+xml"/>
  <Override PartName="/customXml/itemProps324.xml" ContentType="application/vnd.openxmlformats-officedocument.customXmlProperties+xml"/>
  <Override PartName="/customXml/itemProps325.xml" ContentType="application/vnd.openxmlformats-officedocument.customXmlProperties+xml"/>
  <Override PartName="/customXml/itemProps326.xml" ContentType="application/vnd.openxmlformats-officedocument.customXmlProperties+xml"/>
  <Override PartName="/customXml/itemProps327.xml" ContentType="application/vnd.openxmlformats-officedocument.customXmlProperties+xml"/>
  <Override PartName="/customXml/itemProps328.xml" ContentType="application/vnd.openxmlformats-officedocument.customXmlProperties+xml"/>
  <Override PartName="/customXml/itemProps329.xml" ContentType="application/vnd.openxmlformats-officedocument.customXmlProperties+xml"/>
  <Override PartName="/customXml/itemProps330.xml" ContentType="application/vnd.openxmlformats-officedocument.customXmlProperties+xml"/>
  <Override PartName="/customXml/itemProps3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Denne_projektmappe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Sben\Documents\ping-pong-dm\filer\data\input\"/>
    </mc:Choice>
  </mc:AlternateContent>
  <xr:revisionPtr revIDLastSave="0" documentId="13_ncr:1_{8D8E4904-9A25-4085-903B-A071A9D01C57}" xr6:coauthVersionLast="47" xr6:coauthVersionMax="47" xr10:uidLastSave="{00000000-0000-0000-0000-000000000000}"/>
  <bookViews>
    <workbookView xWindow="-108" yWindow="-108" windowWidth="23256" windowHeight="12456" tabRatio="880" xr2:uid="{2CA1C24A-35AE-4703-99CC-A963D3CF8F1C}"/>
  </bookViews>
  <sheets>
    <sheet name="✍️ Fact_Ordre" sheetId="41" r:id="rId1"/>
    <sheet name="✍️ Dim1_OrdreStatus" sheetId="42" r:id="rId2"/>
    <sheet name="🎫 Dim1_Billet" sheetId="43" r:id="rId3"/>
    <sheet name="🎫 Dim2_EventAar" sheetId="44" r:id="rId4"/>
    <sheet name="🎫 Dim3_Event" sheetId="45" r:id="rId5"/>
    <sheet name="🎫 Dim2_BilletKat" sheetId="46" r:id="rId6"/>
    <sheet name="🎫 Dim2_BilletDisciplin" sheetId="47" r:id="rId7"/>
    <sheet name="🎫 Dim2_BilletRække" sheetId="48" r:id="rId8"/>
    <sheet name="🎫 Dim2_BilletSpilformat" sheetId="49" r:id="rId9"/>
    <sheet name="🎫 Dim1_OrdreFoersteTid" sheetId="57" r:id="rId10"/>
    <sheet name="🎫 Dim1_OrdreKat" sheetId="58" r:id="rId11"/>
    <sheet name="🛖 Dim1_Klub" sheetId="50" r:id="rId12"/>
    <sheet name="🛖 Dim2_KlubLandsdel" sheetId="51" r:id="rId13"/>
    <sheet name="🛖 Dim2_KlubRegion" sheetId="52" r:id="rId14"/>
    <sheet name="👤 Dim1_DeltKoen" sheetId="53" r:id="rId15"/>
    <sheet name="💪 Dim1_DeltSlutspil" sheetId="54" r:id="rId16"/>
    <sheet name="💪 Dim1_DeltPlacering" sheetId="55" r:id="rId17"/>
    <sheet name="💪 Dim1_DeltRating" sheetId="56" r:id="rId18"/>
    <sheet name="📅 Dim1_DeltAlderKat" sheetId="59" r:id="rId19"/>
    <sheet name="👤 Dim1_DeltKat" sheetId="60" r:id="rId20"/>
    <sheet name="🔃 Dim1_DeltGenKat" sheetId="61" r:id="rId21"/>
    <sheet name="Inputstatus" sheetId="62" r:id="rId22"/>
  </sheets>
  <definedNames>
    <definedName name="tbl_Billettype_d2">Dim2_BilletKat[BilletKat_ID]</definedName>
    <definedName name="tbl_Bordtennisklub_d1">Bordtennisklub_d1[Klub_ID]</definedName>
    <definedName name="tbl_Disciplin_d2">Disciplin_d2[BilletDisciplin_ID]</definedName>
    <definedName name="tbl_Event_d3">Dim3_Event[Event_ID]</definedName>
    <definedName name="tbl_Event_år_billettype_d1">Dim1_Billet[Billet_ID]</definedName>
    <definedName name="tbl_Event_år_d2">Dim2_Event[EventAar_ID]</definedName>
    <definedName name="tbl_Køn_d1">Køn_d1[DeltKoen_ID]</definedName>
    <definedName name="tbl_Landsdel_d2">Landsdel_d2[KlubLandsdel_RD]</definedName>
    <definedName name="tbl_Placering_d1">Placering_d1[DeltPlac_ID]</definedName>
    <definedName name="tbl_Region_d2">Region_d2[KlubRegion_ID]</definedName>
    <definedName name="tbl_Række_d2">Række_d2[BilletRaekke_ID]</definedName>
    <definedName name="tbl_Slutspil_d1">Slutspil_d1[DeltSlutspil_ID]</definedName>
    <definedName name="tbl_Spilformat_d2">Spilformat_d2[BilletSpilFormat_ID]</definedName>
    <definedName name="tbl_Tilmeldingsstatus_d1">Dim1_OrdreStatus[OrdreStatusKat_ID]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4" l="1" a="1"/>
  <c r="A1" i="54" s="1"/>
  <c r="A1" i="58" a="1"/>
  <c r="A1" i="58" s="1"/>
  <c r="A1" i="49" a="1"/>
  <c r="A1" i="49" s="1"/>
  <c r="A1" i="47" a="1"/>
  <c r="A1" i="47" s="1"/>
  <c r="A1" i="46" a="1"/>
  <c r="A1" i="46" s="1"/>
  <c r="A1" i="44" a="1"/>
  <c r="A1" i="44" s="1"/>
  <c r="A1" i="42" a="1"/>
  <c r="A1" i="42" s="1"/>
  <c r="A18" i="50" a="1"/>
  <c r="A18" i="50" s="1"/>
  <c r="A23" i="50" a="1"/>
  <c r="A23" i="50" s="1"/>
  <c r="A1" i="43" a="1"/>
  <c r="A1" i="43" s="1"/>
  <c r="A1" i="45" a="1"/>
  <c r="A1" i="45" s="1"/>
  <c r="A1" i="48" a="1"/>
  <c r="A1" i="48" s="1"/>
  <c r="A1" i="57" a="1"/>
  <c r="A1" i="57" s="1"/>
  <c r="A1" i="61" a="1"/>
  <c r="A1" i="61" s="1"/>
  <c r="A1" i="50" a="1"/>
  <c r="A1" i="50" s="1"/>
  <c r="A1" i="51" a="1"/>
  <c r="A1" i="51" s="1"/>
  <c r="A1" i="52" a="1"/>
  <c r="A1" i="52" s="1"/>
  <c r="A1" i="53" a="1"/>
  <c r="A1" i="53" s="1"/>
  <c r="A1" i="55" a="1"/>
  <c r="A1" i="55" s="1"/>
  <c r="A1" i="56" a="1"/>
  <c r="A1" i="56" s="1"/>
  <c r="A1" i="59" a="1"/>
  <c r="A1" i="59" s="1"/>
  <c r="A1" i="60" a="1"/>
  <c r="A1" i="60" s="1"/>
  <c r="A1" i="41" a="1"/>
  <c r="A1" i="41" s="1"/>
  <c r="B5" i="62"/>
  <c r="B4" i="62"/>
  <c r="B3" i="62"/>
  <c r="A6" i="61" a="1"/>
  <c r="A6" i="61" s="1"/>
  <c r="A5" i="61" a="1"/>
  <c r="A5" i="61" s="1"/>
  <c r="A4" i="61" a="1"/>
  <c r="A4" i="61" s="1"/>
  <c r="A2" i="61" a="1"/>
  <c r="A2" i="61" s="1"/>
  <c r="A2" i="60" a="1"/>
  <c r="A2" i="60" s="1"/>
  <c r="A4" i="60" a="1"/>
  <c r="A4" i="60" s="1"/>
  <c r="A5" i="60" a="1"/>
  <c r="A5" i="60" s="1"/>
  <c r="A2" i="59" a="1"/>
  <c r="A2" i="59" s="1"/>
  <c r="A4" i="59" a="1"/>
  <c r="A4" i="59" s="1"/>
  <c r="A5" i="59" a="1"/>
  <c r="A5" i="59" s="1"/>
  <c r="A6" i="59" a="1"/>
  <c r="A6" i="59" s="1"/>
  <c r="A2" i="58" a="1"/>
  <c r="A2" i="58" s="1"/>
  <c r="A4" i="58" a="1"/>
  <c r="A4" i="58" s="1"/>
  <c r="A5" i="58" a="1"/>
  <c r="A5" i="58" s="1"/>
  <c r="A6" i="58" a="1"/>
  <c r="A6" i="58" s="1"/>
  <c r="A2" i="57" a="1"/>
  <c r="A2" i="57" s="1"/>
  <c r="A4" i="57" a="1"/>
  <c r="A4" i="57" s="1"/>
  <c r="A5" i="57" a="1"/>
  <c r="A5" i="57" s="1"/>
  <c r="A2" i="56" a="1"/>
  <c r="A2" i="56" s="1"/>
  <c r="A4" i="56" a="1"/>
  <c r="A4" i="56" s="1"/>
  <c r="A5" i="56" a="1"/>
  <c r="A5" i="56" s="1"/>
  <c r="A11" i="55" a="1"/>
  <c r="A11" i="55" s="1"/>
  <c r="A10" i="55" a="1"/>
  <c r="A10" i="55" s="1"/>
  <c r="A9" i="55" a="1"/>
  <c r="A9" i="55" s="1"/>
  <c r="A8" i="55" a="1"/>
  <c r="A8" i="55" s="1"/>
  <c r="A7" i="55" a="1"/>
  <c r="A7" i="55" s="1"/>
  <c r="A6" i="55" a="1"/>
  <c r="A6" i="55" s="1"/>
  <c r="A5" i="55" a="1"/>
  <c r="A5" i="55" s="1"/>
  <c r="A4" i="55" a="1"/>
  <c r="A4" i="55" s="1"/>
  <c r="A2" i="55" a="1"/>
  <c r="A2" i="55" s="1"/>
  <c r="A5" i="54" a="1"/>
  <c r="A5" i="54" s="1"/>
  <c r="A4" i="54" a="1"/>
  <c r="A4" i="54" s="1"/>
  <c r="A2" i="54" a="1"/>
  <c r="A2" i="54" s="1"/>
  <c r="A5" i="53" a="1"/>
  <c r="A5" i="53" s="1"/>
  <c r="A4" i="53" a="1"/>
  <c r="A4" i="53" s="1"/>
  <c r="A2" i="53" a="1"/>
  <c r="A2" i="53" s="1"/>
  <c r="A9" i="52" a="1"/>
  <c r="A9" i="52" s="1"/>
  <c r="A8" i="52" a="1"/>
  <c r="A8" i="52" s="1"/>
  <c r="A7" i="52" a="1"/>
  <c r="A7" i="52" s="1"/>
  <c r="A6" i="52" a="1"/>
  <c r="A6" i="52" s="1"/>
  <c r="A5" i="52" a="1"/>
  <c r="A5" i="52" s="1"/>
  <c r="A4" i="52" a="1"/>
  <c r="A4" i="52" s="1"/>
  <c r="A2" i="52" a="1"/>
  <c r="A2" i="52" s="1"/>
  <c r="A2" i="51" a="1"/>
  <c r="A2" i="51" s="1"/>
  <c r="A4" i="51" a="1"/>
  <c r="A4" i="51" s="1"/>
  <c r="A5" i="51" a="1"/>
  <c r="A5" i="51" s="1"/>
  <c r="A6" i="51" a="1"/>
  <c r="A6" i="51" s="1"/>
  <c r="A7" i="51" a="1"/>
  <c r="A7" i="51" s="1"/>
  <c r="A8" i="51" a="1"/>
  <c r="A8" i="51" s="1"/>
  <c r="A9" i="51" a="1"/>
  <c r="A9" i="51" s="1"/>
  <c r="A10" i="51" a="1"/>
  <c r="A10" i="51" s="1"/>
  <c r="A44" i="50" a="1"/>
  <c r="A44" i="50" s="1"/>
  <c r="A43" i="50" a="1"/>
  <c r="A43" i="50" s="1"/>
  <c r="A42" i="50" a="1"/>
  <c r="A42" i="50" s="1"/>
  <c r="A41" i="50" a="1"/>
  <c r="A41" i="50" s="1"/>
  <c r="A40" i="50" a="1"/>
  <c r="A40" i="50" s="1"/>
  <c r="A39" i="50" a="1"/>
  <c r="A39" i="50" s="1"/>
  <c r="A38" i="50" a="1"/>
  <c r="A38" i="50" s="1"/>
  <c r="A37" i="50" a="1"/>
  <c r="A37" i="50" s="1"/>
  <c r="A36" i="50" a="1"/>
  <c r="A36" i="50" s="1"/>
  <c r="A35" i="50" a="1"/>
  <c r="A35" i="50" s="1"/>
  <c r="A34" i="50" a="1"/>
  <c r="A34" i="50" s="1"/>
  <c r="A33" i="50" a="1"/>
  <c r="A33" i="50" s="1"/>
  <c r="A32" i="50" a="1"/>
  <c r="A32" i="50" s="1"/>
  <c r="A31" i="50" a="1"/>
  <c r="A31" i="50" s="1"/>
  <c r="A30" i="50" a="1"/>
  <c r="A30" i="50" s="1"/>
  <c r="A29" i="50" a="1"/>
  <c r="A29" i="50" s="1"/>
  <c r="A28" i="50" a="1"/>
  <c r="A28" i="50" s="1"/>
  <c r="A27" i="50" a="1"/>
  <c r="A27" i="50" s="1"/>
  <c r="A26" i="50" a="1"/>
  <c r="A26" i="50" s="1"/>
  <c r="A25" i="50" a="1"/>
  <c r="A25" i="50" s="1"/>
  <c r="A24" i="50" a="1"/>
  <c r="A24" i="50" s="1"/>
  <c r="A22" i="50" a="1"/>
  <c r="A22" i="50" s="1"/>
  <c r="A21" i="50" a="1"/>
  <c r="A21" i="50" s="1"/>
  <c r="A20" i="50" a="1"/>
  <c r="A20" i="50" s="1"/>
  <c r="A19" i="50" a="1"/>
  <c r="A19" i="50" s="1"/>
  <c r="A17" i="50" a="1"/>
  <c r="A17" i="50" s="1"/>
  <c r="A16" i="50" a="1"/>
  <c r="A16" i="50" s="1"/>
  <c r="A15" i="50" a="1"/>
  <c r="A15" i="50" s="1"/>
  <c r="A14" i="50" a="1"/>
  <c r="A14" i="50" s="1"/>
  <c r="A13" i="50" a="1"/>
  <c r="A13" i="50" s="1"/>
  <c r="A12" i="50" a="1"/>
  <c r="A12" i="50" s="1"/>
  <c r="A11" i="50" a="1"/>
  <c r="A11" i="50" s="1"/>
  <c r="A10" i="50" a="1"/>
  <c r="A10" i="50" s="1"/>
  <c r="A9" i="50" a="1"/>
  <c r="A9" i="50" s="1"/>
  <c r="A8" i="50" a="1"/>
  <c r="A8" i="50" s="1"/>
  <c r="A7" i="50" a="1"/>
  <c r="A7" i="50" s="1"/>
  <c r="A6" i="50" a="1"/>
  <c r="A6" i="50" s="1"/>
  <c r="A5" i="50" a="1"/>
  <c r="A5" i="50" s="1"/>
  <c r="A4" i="50" a="1"/>
  <c r="A4" i="50" s="1"/>
  <c r="A2" i="50" a="1"/>
  <c r="A2" i="50" s="1"/>
  <c r="A5" i="49" a="1"/>
  <c r="A5" i="49" s="1"/>
  <c r="A4" i="49" a="1"/>
  <c r="A4" i="49" s="1"/>
  <c r="A2" i="49" a="1"/>
  <c r="A2" i="49" s="1"/>
  <c r="A5" i="48" a="1"/>
  <c r="A5" i="48" s="1"/>
  <c r="A4" i="48" a="1"/>
  <c r="A4" i="48" s="1"/>
  <c r="A2" i="48" a="1"/>
  <c r="A2" i="48" s="1"/>
  <c r="A5" i="47" a="1"/>
  <c r="A5" i="47" s="1"/>
  <c r="A4" i="47" a="1"/>
  <c r="A4" i="47" s="1"/>
  <c r="A2" i="47" a="1"/>
  <c r="A2" i="47" s="1"/>
  <c r="A2" i="42" a="1"/>
  <c r="A2" i="42" s="1"/>
  <c r="A6" i="46" a="1"/>
  <c r="A6" i="46" s="1"/>
  <c r="A5" i="46" a="1"/>
  <c r="A5" i="46" s="1"/>
  <c r="A4" i="46" a="1"/>
  <c r="A4" i="46" s="1"/>
  <c r="A2" i="46" a="1"/>
  <c r="A2" i="46" s="1"/>
  <c r="B4" i="45"/>
  <c r="A2" i="45" s="1" a="1"/>
  <c r="A2" i="45" s="1"/>
  <c r="A4" i="45" a="1"/>
  <c r="A4" i="45" s="1"/>
  <c r="B15" i="44"/>
  <c r="A15" i="44" a="1"/>
  <c r="A15" i="44" s="1"/>
  <c r="B14" i="44"/>
  <c r="A14" i="44" a="1"/>
  <c r="A14" i="44" s="1"/>
  <c r="B13" i="44"/>
  <c r="A13" i="44" a="1"/>
  <c r="A13" i="44" s="1"/>
  <c r="B12" i="44"/>
  <c r="A12" i="44" a="1"/>
  <c r="A12" i="44" s="1"/>
  <c r="B11" i="44"/>
  <c r="A11" i="44" a="1"/>
  <c r="A11" i="44" s="1"/>
  <c r="B10" i="44"/>
  <c r="A10" i="44" a="1"/>
  <c r="A10" i="44" s="1"/>
  <c r="B9" i="44"/>
  <c r="A9" i="44" a="1"/>
  <c r="A9" i="44" s="1"/>
  <c r="B8" i="44"/>
  <c r="A8" i="44" a="1"/>
  <c r="A8" i="44" s="1"/>
  <c r="B7" i="44"/>
  <c r="A7" i="44" a="1"/>
  <c r="A7" i="44" s="1"/>
  <c r="B6" i="44"/>
  <c r="A6" i="44" a="1"/>
  <c r="A6" i="44" s="1"/>
  <c r="B5" i="44"/>
  <c r="A5" i="44" a="1"/>
  <c r="A5" i="44" s="1"/>
  <c r="B4" i="44"/>
  <c r="A4" i="44" a="1"/>
  <c r="A4" i="44" s="1"/>
  <c r="B30" i="43" a="1"/>
  <c r="B30" i="43" s="1"/>
  <c r="A30" i="43" a="1"/>
  <c r="A30" i="43" s="1"/>
  <c r="B29" i="43" a="1"/>
  <c r="B29" i="43" s="1"/>
  <c r="A29" i="43" a="1"/>
  <c r="A29" i="43" s="1"/>
  <c r="B28" i="43" a="1"/>
  <c r="B28" i="43" s="1"/>
  <c r="A28" i="43" a="1"/>
  <c r="A28" i="43" s="1"/>
  <c r="B27" i="43" a="1"/>
  <c r="B27" i="43" s="1"/>
  <c r="A27" i="43" a="1"/>
  <c r="A27" i="43" s="1"/>
  <c r="B26" i="43" a="1"/>
  <c r="B26" i="43" s="1"/>
  <c r="A26" i="43" a="1"/>
  <c r="A26" i="43" s="1"/>
  <c r="B25" i="43" a="1"/>
  <c r="B25" i="43" s="1"/>
  <c r="A25" i="43" a="1"/>
  <c r="A25" i="43" s="1"/>
  <c r="B24" i="43" a="1"/>
  <c r="B24" i="43" s="1"/>
  <c r="A24" i="43" a="1"/>
  <c r="A24" i="43" s="1"/>
  <c r="B23" i="43" a="1"/>
  <c r="B23" i="43" s="1"/>
  <c r="A23" i="43" a="1"/>
  <c r="A23" i="43" s="1"/>
  <c r="B22" i="43" a="1"/>
  <c r="B22" i="43" s="1"/>
  <c r="A22" i="43" a="1"/>
  <c r="A22" i="43" s="1"/>
  <c r="B21" i="43" a="1"/>
  <c r="B21" i="43" s="1"/>
  <c r="A21" i="43" a="1"/>
  <c r="A21" i="43" s="1"/>
  <c r="B20" i="43" a="1"/>
  <c r="B20" i="43" s="1"/>
  <c r="A20" i="43" a="1"/>
  <c r="A20" i="43" s="1"/>
  <c r="B19" i="43" a="1"/>
  <c r="B19" i="43" s="1"/>
  <c r="A19" i="43" a="1"/>
  <c r="A19" i="43" s="1"/>
  <c r="B18" i="43" a="1"/>
  <c r="B18" i="43" s="1"/>
  <c r="A18" i="43" a="1"/>
  <c r="A18" i="43" s="1"/>
  <c r="B17" i="43" a="1"/>
  <c r="B17" i="43" s="1"/>
  <c r="A17" i="43" a="1"/>
  <c r="A17" i="43" s="1"/>
  <c r="B16" i="43" a="1"/>
  <c r="B16" i="43" s="1"/>
  <c r="A16" i="43" a="1"/>
  <c r="A16" i="43" s="1"/>
  <c r="B15" i="43" a="1"/>
  <c r="B15" i="43" s="1"/>
  <c r="A15" i="43" a="1"/>
  <c r="A15" i="43" s="1"/>
  <c r="B14" i="43" a="1"/>
  <c r="B14" i="43" s="1"/>
  <c r="A14" i="43" a="1"/>
  <c r="A14" i="43" s="1"/>
  <c r="B13" i="43" a="1"/>
  <c r="B13" i="43" s="1"/>
  <c r="A13" i="43" a="1"/>
  <c r="A13" i="43" s="1"/>
  <c r="B12" i="43" a="1"/>
  <c r="B12" i="43" s="1"/>
  <c r="A12" i="43" a="1"/>
  <c r="A12" i="43" s="1"/>
  <c r="B11" i="43" a="1"/>
  <c r="B11" i="43" s="1"/>
  <c r="A11" i="43" a="1"/>
  <c r="A11" i="43" s="1"/>
  <c r="B10" i="43" a="1"/>
  <c r="B10" i="43" s="1"/>
  <c r="A10" i="43" a="1"/>
  <c r="A10" i="43" s="1"/>
  <c r="B9" i="43" a="1"/>
  <c r="B9" i="43" s="1"/>
  <c r="A9" i="43" a="1"/>
  <c r="A9" i="43" s="1"/>
  <c r="B8" i="43" a="1"/>
  <c r="B8" i="43" s="1"/>
  <c r="A8" i="43" a="1"/>
  <c r="A8" i="43" s="1"/>
  <c r="B7" i="43" a="1"/>
  <c r="B7" i="43" s="1"/>
  <c r="A7" i="43" a="1"/>
  <c r="A7" i="43" s="1"/>
  <c r="B6" i="43" a="1"/>
  <c r="B6" i="43" s="1"/>
  <c r="A6" i="43" a="1"/>
  <c r="A6" i="43" s="1"/>
  <c r="B5" i="43" a="1"/>
  <c r="B5" i="43" s="1"/>
  <c r="A5" i="43" a="1"/>
  <c r="A5" i="43" s="1"/>
  <c r="B4" i="43" a="1"/>
  <c r="B4" i="43" s="1"/>
  <c r="A4" i="43" a="1"/>
  <c r="A4" i="43" s="1"/>
  <c r="A7" i="42" a="1"/>
  <c r="A7" i="42" s="1"/>
  <c r="A6" i="42" a="1"/>
  <c r="A6" i="42" s="1"/>
  <c r="A5" i="42" a="1"/>
  <c r="A5" i="42" s="1"/>
  <c r="A4" i="42" a="1"/>
  <c r="A4" i="42" s="1"/>
  <c r="A2" i="44" l="1" a="1"/>
  <c r="A2" i="44" s="1"/>
  <c r="B6" i="62" a="1"/>
  <c r="B6" i="62" s="1"/>
  <c r="A2" i="41" a="1"/>
  <c r="A2" i="41" s="1"/>
  <c r="A2" i="43" a="1"/>
  <c r="A2" i="4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<sst xmlns="http://schemas.openxmlformats.org/spreadsheetml/2006/main" count="3060" uniqueCount="727">
  <si>
    <t>Sjørring BTK</t>
  </si>
  <si>
    <t>BTK Viby</t>
  </si>
  <si>
    <t>Hørning BTK</t>
  </si>
  <si>
    <t>Ringkøbing</t>
  </si>
  <si>
    <t>Rønde BTK</t>
  </si>
  <si>
    <t>Sisu/MBK</t>
  </si>
  <si>
    <t>Amager BTK</t>
  </si>
  <si>
    <t>Københavns BTK</t>
  </si>
  <si>
    <t>B75</t>
  </si>
  <si>
    <t>Inputstatus</t>
  </si>
  <si>
    <t>Antal tabeller</t>
  </si>
  <si>
    <t>Antal kolonner</t>
  </si>
  <si>
    <t>Antal rækker</t>
  </si>
  <si>
    <t>Antal celler</t>
  </si>
  <si>
    <t>Distinkt</t>
  </si>
  <si>
    <t>Benjamin Sørensen</t>
  </si>
  <si>
    <t>John Sabalic</t>
  </si>
  <si>
    <t>Simon Larsen</t>
  </si>
  <si>
    <t>Bjarke Krog</t>
  </si>
  <si>
    <t>Michel Christensen</t>
  </si>
  <si>
    <t>Mai Jensen</t>
  </si>
  <si>
    <t>Daniel Wolf</t>
  </si>
  <si>
    <t>Amanda Mau</t>
  </si>
  <si>
    <t>Victoria Berthelsen</t>
  </si>
  <si>
    <t>Gabriel Berthelsen</t>
  </si>
  <si>
    <t>Maja Helene Hansen</t>
  </si>
  <si>
    <t>Esbjerg BTK</t>
  </si>
  <si>
    <t>Malik Hartvig Bruun Severinsen</t>
  </si>
  <si>
    <t>Lars Hartvig Bruun Severinsen</t>
  </si>
  <si>
    <t>Jylland</t>
  </si>
  <si>
    <t>Fyn</t>
  </si>
  <si>
    <t>Sjælland</t>
  </si>
  <si>
    <t>Silkeborg BTK</t>
  </si>
  <si>
    <t>Jeff Tølbøll</t>
  </si>
  <si>
    <t>Kresten Christensen</t>
  </si>
  <si>
    <t>Esbjerg</t>
  </si>
  <si>
    <t>Hørning</t>
  </si>
  <si>
    <t>Silkeborg</t>
  </si>
  <si>
    <t>Hirtshals</t>
  </si>
  <si>
    <t>Kastrup</t>
  </si>
  <si>
    <t>Viby J</t>
  </si>
  <si>
    <t>København Ø</t>
  </si>
  <si>
    <t>Odense C</t>
  </si>
  <si>
    <t>OB Bordtennis</t>
  </si>
  <si>
    <t>Aarhus N</t>
  </si>
  <si>
    <t>Århus C</t>
  </si>
  <si>
    <t>Thisted</t>
  </si>
  <si>
    <t>Peter Skalborg Jensen</t>
  </si>
  <si>
    <t>Mads Harbo Jensen</t>
  </si>
  <si>
    <t>Input</t>
  </si>
  <si>
    <t>Sebastian Kjær Jensen</t>
  </si>
  <si>
    <t>Galten</t>
  </si>
  <si>
    <t>Galten FS</t>
  </si>
  <si>
    <t>Brønderslev</t>
  </si>
  <si>
    <t>Peter Bruhn</t>
  </si>
  <si>
    <t>(Ingen klub)</t>
  </si>
  <si>
    <t>(Ukendt landsdel)</t>
  </si>
  <si>
    <t>(Ukendt by)</t>
  </si>
  <si>
    <t>191003‑AMMA</t>
  </si>
  <si>
    <t>261205‑VIBE</t>
  </si>
  <si>
    <t>041007‑GABE</t>
  </si>
  <si>
    <t>281101‑BJKR</t>
  </si>
  <si>
    <t>250501‑SILA</t>
  </si>
  <si>
    <t>130407‑MAHA</t>
  </si>
  <si>
    <t>180209‑JETØ</t>
  </si>
  <si>
    <t>060206‑KRCH</t>
  </si>
  <si>
    <t>230961‑PEBR</t>
  </si>
  <si>
    <t>200210‑MASE</t>
  </si>
  <si>
    <t>190382‑LASE</t>
  </si>
  <si>
    <t>090775‑JENE</t>
  </si>
  <si>
    <t>290593‑EMMA</t>
  </si>
  <si>
    <t>210798‑LALA</t>
  </si>
  <si>
    <t>220465‑MAJE</t>
  </si>
  <si>
    <t>140989‑MICH</t>
  </si>
  <si>
    <t>231195‑MIKN</t>
  </si>
  <si>
    <t>180365‑JOSA</t>
  </si>
  <si>
    <t>290171‑JAHE</t>
  </si>
  <si>
    <t>160975‑MAHA</t>
  </si>
  <si>
    <t>080892‑JADO</t>
  </si>
  <si>
    <t>300496‑DAWO</t>
  </si>
  <si>
    <t>080790‑PEJE</t>
  </si>
  <si>
    <t>100595‑SEJE</t>
  </si>
  <si>
    <t>Emil Madsen</t>
  </si>
  <si>
    <t>Bornholm</t>
  </si>
  <si>
    <t>(Ukendt region)</t>
  </si>
  <si>
    <t>Region Nordjylland</t>
  </si>
  <si>
    <t>Region Midtjylland</t>
  </si>
  <si>
    <t>Region Syddanmark</t>
  </si>
  <si>
    <t>Region Sjælland</t>
  </si>
  <si>
    <t>Region Hovedstaden</t>
  </si>
  <si>
    <t>080294‑BESØ</t>
  </si>
  <si>
    <t>250372‑JESK</t>
  </si>
  <si>
    <t>Jesper Skivesen</t>
  </si>
  <si>
    <t>Mathias Christensen</t>
  </si>
  <si>
    <t>080950‑BEJA</t>
  </si>
  <si>
    <t>040282‑CAST</t>
  </si>
  <si>
    <t>Casper Staal</t>
  </si>
  <si>
    <t>Bent O. Jakobsen</t>
  </si>
  <si>
    <t>200792‑CHAN</t>
  </si>
  <si>
    <t>Christian H. Andersen</t>
  </si>
  <si>
    <t>190594‑MACH</t>
  </si>
  <si>
    <t>250901‑MIEL</t>
  </si>
  <si>
    <t>Vejle BTK</t>
  </si>
  <si>
    <t>Vejle</t>
  </si>
  <si>
    <t>060598‑BELI</t>
  </si>
  <si>
    <t>Benjamin Lillelund</t>
  </si>
  <si>
    <t>Hasle IF</t>
  </si>
  <si>
    <t>Hasle</t>
  </si>
  <si>
    <t>010883‑MAHE</t>
  </si>
  <si>
    <t>Mathias Heidmann</t>
  </si>
  <si>
    <t>121000‑MADA</t>
  </si>
  <si>
    <t>Marius Dam</t>
  </si>
  <si>
    <t>050993‑MALA</t>
  </si>
  <si>
    <t>Mads Larsen</t>
  </si>
  <si>
    <t>120297‑JOHA</t>
  </si>
  <si>
    <t>Jonathan Abildgaard Hansen</t>
  </si>
  <si>
    <t>Lasse Frølich Rasmussen</t>
  </si>
  <si>
    <t>051192‑MIJA</t>
  </si>
  <si>
    <t>Mie Binnerup Jacobsen</t>
  </si>
  <si>
    <t>150888‑SINY</t>
  </si>
  <si>
    <t>160897‑MAKY</t>
  </si>
  <si>
    <t>Marc Kynde</t>
  </si>
  <si>
    <t>230702‑OSHO</t>
  </si>
  <si>
    <t>Nyborg G &amp; IF</t>
  </si>
  <si>
    <t>Nyborg</t>
  </si>
  <si>
    <t>010297‑JOOV</t>
  </si>
  <si>
    <t>230403‑JOGR</t>
  </si>
  <si>
    <t>160878‑HABO</t>
  </si>
  <si>
    <t>300678‑THKJ</t>
  </si>
  <si>
    <t>Thomas Kjeldgård</t>
  </si>
  <si>
    <t>221206‑OLJO</t>
  </si>
  <si>
    <t>Oliver Kjeldgaard Johansson</t>
  </si>
  <si>
    <t>100510‑FRKJ</t>
  </si>
  <si>
    <t>Frederik Kjeldgaard</t>
  </si>
  <si>
    <t>info@amagerbtk.dk</t>
  </si>
  <si>
    <t>jensknudsen1885@gmail.com</t>
  </si>
  <si>
    <t>simon88nf@gmail.com</t>
  </si>
  <si>
    <t>bolding.olesen@gmail.com</t>
  </si>
  <si>
    <t>jb_tb@mail.dk</t>
  </si>
  <si>
    <t>kennyjensen535@gmail.com</t>
  </si>
  <si>
    <t>ole@compurevision.dk</t>
  </si>
  <si>
    <t>kontakt@kbhbordtennis.dk</t>
  </si>
  <si>
    <t>ftv@c.dk</t>
  </si>
  <si>
    <t>asbp@sol.dk</t>
  </si>
  <si>
    <t>npb@sbtk.dk</t>
  </si>
  <si>
    <t>bestyrelse@sisu-mbk.dk</t>
  </si>
  <si>
    <t>peterbakjensen@gmail.com</t>
  </si>
  <si>
    <t>formand@vejlebordtennisklub.dk</t>
  </si>
  <si>
    <t>daniel.christensen@b75.dk</t>
  </si>
  <si>
    <t>Poul B. Pedersen</t>
  </si>
  <si>
    <t>Hillerød GI</t>
  </si>
  <si>
    <t>Hillerød</t>
  </si>
  <si>
    <t>formand@hgibordtennis.dk</t>
  </si>
  <si>
    <t>ara@vucfyn.dk</t>
  </si>
  <si>
    <t>Roskilde</t>
  </si>
  <si>
    <t>bestyrelsen@btk61.dk</t>
  </si>
  <si>
    <t>bs@naestved-bordtennis.dk</t>
  </si>
  <si>
    <t>Næstved BTK</t>
  </si>
  <si>
    <t>Holmegaard</t>
  </si>
  <si>
    <t>København NV</t>
  </si>
  <si>
    <t>klapklaus@mail.dk</t>
  </si>
  <si>
    <t>Virum Sorgenfri BTK</t>
  </si>
  <si>
    <t>Virum</t>
  </si>
  <si>
    <t>vsbtk.bestyrelsen@gmail.com</t>
  </si>
  <si>
    <t>Odense M</t>
  </si>
  <si>
    <t>ole.bay.jensen@outlook.dk</t>
  </si>
  <si>
    <t>Brøndby BC</t>
  </si>
  <si>
    <t>Brøndby</t>
  </si>
  <si>
    <t>Greve BTK</t>
  </si>
  <si>
    <t>Greve</t>
  </si>
  <si>
    <t>hvidovrebordtennisklub@gmail.com</t>
  </si>
  <si>
    <t>michael.ryding@hotmail.com</t>
  </si>
  <si>
    <t>Hvidovre BTK</t>
  </si>
  <si>
    <t>Hvidovre</t>
  </si>
  <si>
    <t>btkmidtjylland@hotmail.com</t>
  </si>
  <si>
    <t>BTK Midtjylland</t>
  </si>
  <si>
    <t>Herning</t>
  </si>
  <si>
    <t>Frederiksberg BTK</t>
  </si>
  <si>
    <t>Frederiksberg</t>
  </si>
  <si>
    <t>nielsrudolfsen@outlook.dk</t>
  </si>
  <si>
    <t>250662‑MASV</t>
  </si>
  <si>
    <t>Holbæk BTK</t>
  </si>
  <si>
    <t>Martin Svendsen</t>
  </si>
  <si>
    <t>Holbæk</t>
  </si>
  <si>
    <t>formand@holbaekbordtennis.dk</t>
  </si>
  <si>
    <t>jonasagerholm@studmed.au.dk</t>
  </si>
  <si>
    <t>Alfred Brøgger</t>
  </si>
  <si>
    <t>201005‑BADI</t>
  </si>
  <si>
    <t>Bastian Diness</t>
  </si>
  <si>
    <t>141298‑ANLI</t>
  </si>
  <si>
    <t>Anders Lind</t>
  </si>
  <si>
    <t>151090‑IZNØ</t>
  </si>
  <si>
    <t>Izabell Nørlem</t>
  </si>
  <si>
    <t>Brønshøj BTK</t>
  </si>
  <si>
    <t>(Ukendt mail)</t>
  </si>
  <si>
    <t>Triton</t>
  </si>
  <si>
    <t>preben@greve-btk.dk</t>
  </si>
  <si>
    <t>BTK Grenå</t>
  </si>
  <si>
    <t>Grenaa</t>
  </si>
  <si>
    <t>hammelev@hammelev.net</t>
  </si>
  <si>
    <t>230578‑THBJ</t>
  </si>
  <si>
    <t>Thomas Bjerregaard</t>
  </si>
  <si>
    <t>040791‑THPE</t>
  </si>
  <si>
    <t>Thomas B. Petersen</t>
  </si>
  <si>
    <t>Rasmus Hansen</t>
  </si>
  <si>
    <t>Simon Egebæk</t>
  </si>
  <si>
    <t>Sebastian Sørensen</t>
  </si>
  <si>
    <t>Simon Nykjær-Fisher</t>
  </si>
  <si>
    <t>Sarah Svendsen</t>
  </si>
  <si>
    <t>Annsofie Sommer</t>
  </si>
  <si>
    <t>Jesper Nedergård</t>
  </si>
  <si>
    <t>Michael Hegelund Knudsen</t>
  </si>
  <si>
    <t>110696‑RAHA</t>
  </si>
  <si>
    <t>Rasmus Damkjær Hansen</t>
  </si>
  <si>
    <t>Johan Grønhøj</t>
  </si>
  <si>
    <t>300470‑JANO</t>
  </si>
  <si>
    <t>Jan Nordhøj</t>
  </si>
  <si>
    <t>Jonas Overgaard</t>
  </si>
  <si>
    <t>Jesper Steffensen</t>
  </si>
  <si>
    <t>Jannick Helbo Wagner</t>
  </si>
  <si>
    <t>080289‑MEKR</t>
  </si>
  <si>
    <t>Ida Nielsen</t>
  </si>
  <si>
    <t>090391‑IDNI</t>
  </si>
  <si>
    <t>020686‑DENI</t>
  </si>
  <si>
    <t>Dennis K. Nielsen</t>
  </si>
  <si>
    <t>Mette Kristensen</t>
  </si>
  <si>
    <t>Team Nørreå</t>
  </si>
  <si>
    <t>Bjerringbro</t>
  </si>
  <si>
    <t>tommyj@sport.dk</t>
  </si>
  <si>
    <t>070387‑NISO</t>
  </si>
  <si>
    <t>Nick Sommer</t>
  </si>
  <si>
    <t>Mickey Elsborg</t>
  </si>
  <si>
    <t>070802‑EMSØ</t>
  </si>
  <si>
    <t>Emil Lynge Sørensen</t>
  </si>
  <si>
    <t>100906‑ANHO</t>
  </si>
  <si>
    <t>Anders Holler</t>
  </si>
  <si>
    <t>BTK Tateni</t>
  </si>
  <si>
    <t>Aalborg</t>
  </si>
  <si>
    <t>larsthomsen123@gmail.com</t>
  </si>
  <si>
    <t>Lasse Kardel Larsen</t>
  </si>
  <si>
    <t>Johannes Messick Mortensen</t>
  </si>
  <si>
    <t>Oscar Hovmøller</t>
  </si>
  <si>
    <t>Andreas Bjørnholdt</t>
  </si>
  <si>
    <t>311292‑NIMI</t>
  </si>
  <si>
    <t>Nichlas Middelhede</t>
  </si>
  <si>
    <t>230706‑LAJO</t>
  </si>
  <si>
    <t>Laust Ravn Johansen</t>
  </si>
  <si>
    <t>Hans Herluf Boisen</t>
  </si>
  <si>
    <t>020496‑NIJO</t>
  </si>
  <si>
    <t>Nicklas Martti Johnsen</t>
  </si>
  <si>
    <t>Viborg BTK</t>
  </si>
  <si>
    <t>Viborg</t>
  </si>
  <si>
    <t>lhsloth@post.tele.dk</t>
  </si>
  <si>
    <t>030197‑ANAN</t>
  </si>
  <si>
    <t>Anton Andersson</t>
  </si>
  <si>
    <t>280466‑LAJØ</t>
  </si>
  <si>
    <t>Lars Jørgensen</t>
  </si>
  <si>
    <t>030882‑MIMI</t>
  </si>
  <si>
    <t>Milosz Miszczuk</t>
  </si>
  <si>
    <t>280389‑JOAG</t>
  </si>
  <si>
    <t>Jonas Ring Agerholm</t>
  </si>
  <si>
    <t>Amin Saad Al-Zayadi</t>
  </si>
  <si>
    <t>030302‑JOWE</t>
  </si>
  <si>
    <t>Jonathan Weiss</t>
  </si>
  <si>
    <t>050512‑OTSV</t>
  </si>
  <si>
    <t>Otto Svindt</t>
  </si>
  <si>
    <t>Sebastian Karlsmose</t>
  </si>
  <si>
    <t>Jonas Brandt</t>
  </si>
  <si>
    <t>Odense Kasernehal</t>
  </si>
  <si>
    <t>Søndre Blvd. 17A</t>
  </si>
  <si>
    <t>Nørre Blvd. 1</t>
  </si>
  <si>
    <t>Aarhus C</t>
  </si>
  <si>
    <t>Hørning Idrætscenter</t>
  </si>
  <si>
    <t>Toftevej 53</t>
  </si>
  <si>
    <t>161098‑JOBR</t>
  </si>
  <si>
    <t>050612‑AMAL</t>
  </si>
  <si>
    <t>311002‑JOMO</t>
  </si>
  <si>
    <t>030894‑0007</t>
  </si>
  <si>
    <t>291095‑0006</t>
  </si>
  <si>
    <t>280501‑0005</t>
  </si>
  <si>
    <t>030201‑0004</t>
  </si>
  <si>
    <t>110501‑SESØ</t>
  </si>
  <si>
    <t>291252‑0003</t>
  </si>
  <si>
    <t>300503‑KIBE</t>
  </si>
  <si>
    <t>230709‑ALBR</t>
  </si>
  <si>
    <t>091184‑0002</t>
  </si>
  <si>
    <t>231093‑0001</t>
  </si>
  <si>
    <t>220475‑JEST</t>
  </si>
  <si>
    <t>A-slutspil</t>
  </si>
  <si>
    <t>B-slutspil</t>
  </si>
  <si>
    <t>3e60537b3a1541a48e2e0871a6c520fa</t>
  </si>
  <si>
    <t>77df96dc37b92daa27c050b8f7f1aafa9b47b7b0</t>
  </si>
  <si>
    <t>0ee63c56fed64db5a26e7c8a1f1a2c18</t>
  </si>
  <si>
    <t>2053580c3e2b4b9c88b30859f7bd4065</t>
  </si>
  <si>
    <t>Jakub Adam Dorocinski</t>
  </si>
  <si>
    <t>Istvan Moldovan</t>
  </si>
  <si>
    <t>241273‑ISMO</t>
  </si>
  <si>
    <t>030397‑BJLY</t>
  </si>
  <si>
    <t>Bjarke Lysdahl</t>
  </si>
  <si>
    <t>Silkeborg Sportscenter</t>
  </si>
  <si>
    <t>Århusvej 45</t>
  </si>
  <si>
    <t>131100‑MAAN</t>
  </si>
  <si>
    <t>Martin Buch Andersen</t>
  </si>
  <si>
    <t>160990‑MIST</t>
  </si>
  <si>
    <t>Mindaugas Steponkus</t>
  </si>
  <si>
    <t>Remisen</t>
  </si>
  <si>
    <t>Halvejen 4</t>
  </si>
  <si>
    <t>Blegdamsvej 132</t>
  </si>
  <si>
    <t>Mikkel Emborg</t>
  </si>
  <si>
    <t>070102‑MIEM</t>
  </si>
  <si>
    <t>1. plads</t>
  </si>
  <si>
    <t>4. plads</t>
  </si>
  <si>
    <t>3. plads</t>
  </si>
  <si>
    <t>2. plads</t>
  </si>
  <si>
    <t>5. plads</t>
  </si>
  <si>
    <t>7. plads</t>
  </si>
  <si>
    <t>8. plads</t>
  </si>
  <si>
    <t>6. plads</t>
  </si>
  <si>
    <t>Roskilde BTK</t>
  </si>
  <si>
    <t>Aarhus Bordtennis</t>
  </si>
  <si>
    <t>Aarhus V</t>
  </si>
  <si>
    <t>IbberAbdallah@hotmail.com</t>
  </si>
  <si>
    <t>https://www.google.dk/maps/place/H%C3%B8rning+Idr%C3%A6tscenter/@56.09091,10.0318113,17z/data=!3m1!4b1!4m5!3m4!1s0x464c6b94628b4b3b:0x6bd220b0427a7b4d!8m2!3d56.09091!4d10.034</t>
  </si>
  <si>
    <t>https://www.google.dk/maps/place/Sisu%2FMBK/@56.164946,10.2077328,17z/data=!3m1!4b1!4m5!3m4!1s0x464c3fbe7f913e13:0xbe2de2273b1a8df2!8m2!3d56.1649752!4d10.2100476</t>
  </si>
  <si>
    <t>https://www.google.dk/maps/place/OB+Bordtennis/@55.3879518,10.3728344,17z/data=!3m1!4b1!4m5!3m4!1s0x464cdff7526fb7bd:0x8d42164442c85e08!8m2!3d55.3879518!4d10.3750231</t>
  </si>
  <si>
    <t>https://www.google.dk/maps/place/Silkeborg+Sportscenter/@56.1700635,9.5658902,17z/data=!3m1!4b1!4m5!3m4!1s0x464b8b2265d40477:0x208632b3bdd2ef3f!8m2!3d56.170057!4d9.5680794</t>
  </si>
  <si>
    <t>https://www.google.dk/maps/place/Remisen/@55.6986889,12.5722573,17z/data=!3m1!4b1!4m5!3m4!1s0x465252fb7a56b933:0x612b924c38f0e6f5!8m2!3d55.698689!4d12.576742</t>
  </si>
  <si>
    <t>https://www.google.dk/maps/place/B75/@57.5818358,9.9511871,17z/data=!3m1!4b1!4m5!3m4!1s0x464f354d15529625:0x799d19937bc18dca!8m2!3d57.5820187!4d9.9534478</t>
  </si>
  <si>
    <t>#3D88CB</t>
  </si>
  <si>
    <t>#D6EAF8</t>
  </si>
  <si>
    <t>#1C2833</t>
  </si>
  <si>
    <t>#D5D8DC</t>
  </si>
  <si>
    <t>030899‑ESBA</t>
  </si>
  <si>
    <t>Esben Rask Bach</t>
  </si>
  <si>
    <t>160686‑IBAB</t>
  </si>
  <si>
    <t>Ibrahim Abdallah</t>
  </si>
  <si>
    <t>250974‑JATH</t>
  </si>
  <si>
    <t>Jan Therkelsen</t>
  </si>
  <si>
    <t>Dima Bibko</t>
  </si>
  <si>
    <t>SKF</t>
  </si>
  <si>
    <t>Karup J</t>
  </si>
  <si>
    <t>jacdan@mail.dk</t>
  </si>
  <si>
    <t>280783‑DIBI</t>
  </si>
  <si>
    <t>#3B3D96</t>
  </si>
  <si>
    <t>101206‑OLSØ</t>
  </si>
  <si>
    <t>Oliver Henneberg Sørensen</t>
  </si>
  <si>
    <t>Matti Henneberg Sørensen</t>
  </si>
  <si>
    <t>230212‑MASØ</t>
  </si>
  <si>
    <t>010249‑0008</t>
  </si>
  <si>
    <t>Poul Erik Henneberg Sørensen</t>
  </si>
  <si>
    <t>Nick Branch</t>
  </si>
  <si>
    <t>281155‑0009</t>
  </si>
  <si>
    <t>190667‑CLNI</t>
  </si>
  <si>
    <t>Claus Hvam Nielsen</t>
  </si>
  <si>
    <t>(Udlandet)</t>
  </si>
  <si>
    <t>Sofus Fisker</t>
  </si>
  <si>
    <t>230202‑SOFI</t>
  </si>
  <si>
    <t>061102‑THSC</t>
  </si>
  <si>
    <t>Thor O. Schneider</t>
  </si>
  <si>
    <t>Michael Moesgaard</t>
  </si>
  <si>
    <t>080871‑SHYA</t>
  </si>
  <si>
    <t>051172‑HESØ</t>
  </si>
  <si>
    <t>Henrik Harbo Sørensen</t>
  </si>
  <si>
    <t>140676‑MIMO</t>
  </si>
  <si>
    <t>For ALLE inkl. bat</t>
  </si>
  <si>
    <t>Fest med mad og drikke</t>
  </si>
  <si>
    <t>060305‑ALJA</t>
  </si>
  <si>
    <t>Alexander Helmsby Jakobsen</t>
  </si>
  <si>
    <t>Lars Christensen</t>
  </si>
  <si>
    <t>080572‑LACH</t>
  </si>
  <si>
    <t>260905‑MIJE</t>
  </si>
  <si>
    <t>Mikkel B. Jespersen</t>
  </si>
  <si>
    <t>190605‑MAHA</t>
  </si>
  <si>
    <t>Malene Dyrby Hansen</t>
  </si>
  <si>
    <t>300597‑RAAN</t>
  </si>
  <si>
    <t>Rasmus Andreasen</t>
  </si>
  <si>
    <t>260792‑0010</t>
  </si>
  <si>
    <t>Tobias Jensby Christensen</t>
  </si>
  <si>
    <t>231072‑KENI</t>
  </si>
  <si>
    <t>Kenneth Nielsen</t>
  </si>
  <si>
    <t>260775‑ANCH</t>
  </si>
  <si>
    <t>Anna-Maja K. Christiansen</t>
  </si>
  <si>
    <t>Ivan Schulz Hjul</t>
  </si>
  <si>
    <t>240275‑IVHJ</t>
  </si>
  <si>
    <t>Varde BTK</t>
  </si>
  <si>
    <t>Varde</t>
  </si>
  <si>
    <t>info@bordtennisvarde.dk</t>
  </si>
  <si>
    <t>180794‑EMRI</t>
  </si>
  <si>
    <t>240499‑0011</t>
  </si>
  <si>
    <t>Kristian Ringgaard</t>
  </si>
  <si>
    <t>Emil Ringgaard</t>
  </si>
  <si>
    <t>180512‑BEBO</t>
  </si>
  <si>
    <t>Benjamin Borch</t>
  </si>
  <si>
    <t>150407‑LAKR</t>
  </si>
  <si>
    <t>Lasse Fly Kristensen</t>
  </si>
  <si>
    <t>201273‑HEHA</t>
  </si>
  <si>
    <t>Henrik Hansen</t>
  </si>
  <si>
    <t>030602‑GUFA</t>
  </si>
  <si>
    <t>Gustav Faurschou</t>
  </si>
  <si>
    <t>300495‑FRER</t>
  </si>
  <si>
    <t>Frederik Eriksen</t>
  </si>
  <si>
    <t>Ribe BTK</t>
  </si>
  <si>
    <t>Ribe</t>
  </si>
  <si>
    <t>thomas_lautrup_andersen@hotmail.com</t>
  </si>
  <si>
    <t>101014‑WIBE</t>
  </si>
  <si>
    <t>William Lund Bejning</t>
  </si>
  <si>
    <t>280909‑GUHØ</t>
  </si>
  <si>
    <t>Gustav Højslet</t>
  </si>
  <si>
    <t>010914‑KAHØ</t>
  </si>
  <si>
    <t>Karlo Bejning Højslet</t>
  </si>
  <si>
    <t>261110‑MAPU</t>
  </si>
  <si>
    <t>Magnus Puggaard</t>
  </si>
  <si>
    <t>Amir Karahalilovic</t>
  </si>
  <si>
    <t>240499‑0012</t>
  </si>
  <si>
    <t>200512‑OLKA</t>
  </si>
  <si>
    <t>Oliver Kallestrup-Lamb</t>
  </si>
  <si>
    <t>Noah Kallestrup-Lamb</t>
  </si>
  <si>
    <t>110814‑NOKA</t>
  </si>
  <si>
    <t>051108‑KAGL</t>
  </si>
  <si>
    <t>Karl Sebastian Weyer Glerup</t>
  </si>
  <si>
    <t>190901‑VIAM</t>
  </si>
  <si>
    <t>Victor Amstrup</t>
  </si>
  <si>
    <t>100509‑HARY</t>
  </si>
  <si>
    <t>Harald Gabriel Elbæk Rysgaard</t>
  </si>
  <si>
    <t>070112‑SOAN</t>
  </si>
  <si>
    <t>Sofus Møller Andersen</t>
  </si>
  <si>
    <t>131263‑OLCH</t>
  </si>
  <si>
    <t>Ole Munck Christensen</t>
  </si>
  <si>
    <t>190310‑OSPE</t>
  </si>
  <si>
    <t>Oscar Leerbæk Pedersen</t>
  </si>
  <si>
    <t>170797‑JOKR</t>
  </si>
  <si>
    <t>Jonas Kristensen</t>
  </si>
  <si>
    <t>030692‑DAMA</t>
  </si>
  <si>
    <t>Daniel Maigaard</t>
  </si>
  <si>
    <t>290492‑FRB2</t>
  </si>
  <si>
    <t>Frederik Brøsted</t>
  </si>
  <si>
    <t>151147‑HEJA</t>
  </si>
  <si>
    <t>Henning H. Jacobsen</t>
  </si>
  <si>
    <t>Shibo Yang</t>
  </si>
  <si>
    <t>Holingknuden 3</t>
  </si>
  <si>
    <t>Sportscenter Herning</t>
  </si>
  <si>
    <t>Sandpapir</t>
  </si>
  <si>
    <t>Åben</t>
  </si>
  <si>
    <t>Træbat</t>
  </si>
  <si>
    <t>Ungdom</t>
  </si>
  <si>
    <t>Single</t>
  </si>
  <si>
    <t>Double</t>
  </si>
  <si>
    <t>Kylling &amp; bacon sandwich</t>
  </si>
  <si>
    <t>Parmaskinke &amp; mozzarella sandwich</t>
  </si>
  <si>
    <t>Oksekødsstrimler sandwich</t>
  </si>
  <si>
    <t>Bresaola og parmesanost sandwich</t>
  </si>
  <si>
    <t>Tunsalat</t>
  </si>
  <si>
    <t>Kyllingesalat</t>
  </si>
  <si>
    <t>Vegetarsalat</t>
  </si>
  <si>
    <t>Restaurant Flammen</t>
  </si>
  <si>
    <t>The Old Irish Pub</t>
  </si>
  <si>
    <t>Herre</t>
  </si>
  <si>
    <t>♂️</t>
  </si>
  <si>
    <t>Dame</t>
  </si>
  <si>
    <t>♀️</t>
  </si>
  <si>
    <t>🏓</t>
  </si>
  <si>
    <t>Ikke-bordtennisspiller</t>
  </si>
  <si>
    <t>Bordtennisspiller</t>
  </si>
  <si>
    <t>👤</t>
  </si>
  <si>
    <t>Ping Pong</t>
  </si>
  <si>
    <t>Fest om aftenen</t>
  </si>
  <si>
    <t>🥳</t>
  </si>
  <si>
    <t>Frokost</t>
  </si>
  <si>
    <t>🥪</t>
  </si>
  <si>
    <t>👥</t>
  </si>
  <si>
    <t>Ordinær</t>
  </si>
  <si>
    <t>✔️</t>
  </si>
  <si>
    <t>Drive-in</t>
  </si>
  <si>
    <t>🏃</t>
  </si>
  <si>
    <t>Afbud</t>
  </si>
  <si>
    <t>❌</t>
  </si>
  <si>
    <t>Debutant</t>
  </si>
  <si>
    <t>🆕</t>
  </si>
  <si>
    <t>Gentilmelding</t>
  </si>
  <si>
    <t>🔃</t>
  </si>
  <si>
    <t>Tilmeldt inkl. betaling</t>
  </si>
  <si>
    <t>✔️💲👍</t>
  </si>
  <si>
    <t>Afbud inkl. refusion</t>
  </si>
  <si>
    <t>❌💸👍</t>
  </si>
  <si>
    <t>Afbud ekskl. refusion</t>
  </si>
  <si>
    <t>❌💸👎</t>
  </si>
  <si>
    <t>Tilmeldt</t>
  </si>
  <si>
    <t>Senior</t>
  </si>
  <si>
    <t>Veteran</t>
  </si>
  <si>
    <t>Elite</t>
  </si>
  <si>
    <t>Aften</t>
  </si>
  <si>
    <t>Øvrig</t>
  </si>
  <si>
    <t>Amatør</t>
  </si>
  <si>
    <t>&lt;iconify-icon icon=mdi:table-tennis style=color:#398FCC&gt;&lt;/iconify-icon&gt;</t>
  </si>
  <si>
    <t>https://www.google.dk/maps/place/Sportscenter+Herning/@56.157455,8.9619456,17z/data=!3m1!4b1!4m6!3m5!1s0x464bb95cde96d94f:0xf804b36833bfdac3!8m2!3d56.157452!4d8.9645205!16s%2Fg%2F122n5pr2?entry=ttu</t>
  </si>
  <si>
    <t>&lt;iconify-icon icon=mdi:party-popper style=color:#F1C40F&gt;&lt;/iconify-icon&gt;</t>
  </si>
  <si>
    <t>&lt;iconify-icon icon=mdi:hamburger style=color:#1ABC9C&gt;&lt;/iconify-icon&gt;</t>
  </si>
  <si>
    <t>AAAA</t>
  </si>
  <si>
    <t>0000</t>
  </si>
  <si>
    <t>ÅÅÅÅ</t>
  </si>
  <si>
    <t>&lt;iconify-icon icon=mdi:home&gt;&lt;/iconify-icon&gt;</t>
  </si>
  <si>
    <t>&lt;iconify-icon icon=mdi:home-off&gt;&lt;/iconify-icon&gt;</t>
  </si>
  <si>
    <t>&lt;iconify-icon icon=mdi:earth&gt;&lt;/iconify-icon&gt;</t>
  </si>
  <si>
    <t>🛖</t>
  </si>
  <si>
    <t>🌐</t>
  </si>
  <si>
    <t>⛺</t>
  </si>
  <si>
    <t>&lt;iconify-icon icon=mdi:account-check style=color:#1ABC9C&gt;&lt;/iconify-icon&gt;</t>
  </si>
  <si>
    <t>&lt;iconify-icon icon=mdi:account-cancel style=color:#C0392B&gt;&lt;/iconify-icon&gt;</t>
  </si>
  <si>
    <t>&lt;iconify-icon icon=mdi:account&gt;&lt;/iconify-icon&gt;</t>
  </si>
  <si>
    <t>&lt;iconify-icon icon=mdi:people&gt;&lt;/iconify-icon&gt;</t>
  </si>
  <si>
    <t>&lt;iconify-icon icon=mdi:autorenew&gt;&lt;/iconify-icon&gt;</t>
  </si>
  <si>
    <t>&lt;iconify-icon icon=mdi:numeric-1-circle&gt;&lt;/iconify-icon&gt;</t>
  </si>
  <si>
    <t>&lt;iconify-icon icon=mdi:gender-male style=color:#009FB7&gt;&lt;/iconify-icon&gt;</t>
  </si>
  <si>
    <t>&lt;iconify-icon icon=mdi:gender-female style=color:#DA036B&gt;&lt;/iconify-icon&gt;</t>
  </si>
  <si>
    <t>Ping Pong DM</t>
  </si>
  <si>
    <t>Ping Pong DM 2024</t>
  </si>
  <si>
    <t>Ping Pong DM 2023</t>
  </si>
  <si>
    <t>Ping Pong DM 2022</t>
  </si>
  <si>
    <t>Ping Pong DM 2021</t>
  </si>
  <si>
    <t>Ping Pong DM 2019</t>
  </si>
  <si>
    <t>Ping Pong DM 2018</t>
  </si>
  <si>
    <t>Ping Pong DM 2017</t>
  </si>
  <si>
    <t>Ping Pong DM 2016</t>
  </si>
  <si>
    <t>Ping Pong DM 2015</t>
  </si>
  <si>
    <t>Ping Pong DM 2014</t>
  </si>
  <si>
    <t>Ping Pong DM 2024 - Ping Pong - Single - Sandpapir - Åben</t>
  </si>
  <si>
    <t>Ping Pong DM 2024 - Ping Pong - Single - Sandpapir - Ungdom</t>
  </si>
  <si>
    <t>Ping Pong DM 2024 - Ping Pong - Single - Træbat - Åben</t>
  </si>
  <si>
    <t>Ping Pong DM 2024 - Ping Pong - Single - Træbat - Ungdom</t>
  </si>
  <si>
    <t>Ping Pong DM 2023 - Fest om aftenen</t>
  </si>
  <si>
    <t>Ping Pong DM 2023 - Ping Pong - Single - Sandpapir - Åben</t>
  </si>
  <si>
    <t>Ping Pong DM 2022 - Fest om aftenen</t>
  </si>
  <si>
    <t>Ping Pong DM 2022 - Ping Pong - Single - Sandpapir - Åben</t>
  </si>
  <si>
    <t>Ping Pong DM 2021 - Ping Pong - Single - Sandpapir - Åben</t>
  </si>
  <si>
    <t>Ping Pong DM 2021 - Fest om aftenen - The Old Irish Pub</t>
  </si>
  <si>
    <t>Ping Pong DM 2021 - Fest om aftenen - Restaurant Flammen</t>
  </si>
  <si>
    <t>Ping Pong DM 2021 - Frokost - Kylling &amp; bacon sandwich</t>
  </si>
  <si>
    <t>Ping Pong DM 2021 - Frokost - Oksekødsstrimler sandwich</t>
  </si>
  <si>
    <t>Ping Pong DM 2021 - Frokost - Kyllingesalat</t>
  </si>
  <si>
    <t>Ping Pong DM 2021 - Frokost - Bresaola og parmesanost sandwich</t>
  </si>
  <si>
    <t>Ping Pong DM 2019 - Ping Pong - Single - Sandpapir - Åben</t>
  </si>
  <si>
    <t>Ping Pong DM 2018 - Ping Pong - Single - Sandpapir - Åben</t>
  </si>
  <si>
    <t>Ping Pong DM 2017 - Ping Pong - Single - Sandpapir - Åben</t>
  </si>
  <si>
    <t>Ping Pong DM 2016 - Ping Pong - Single - Sandpapir - Åben</t>
  </si>
  <si>
    <t>Ping Pong DM 2015 - Ping Pong - Single - Sandpapir - Åben</t>
  </si>
  <si>
    <t>Ping Pong DM 2014 - Ping Pong - Single - Sandpapir - Åben</t>
  </si>
  <si>
    <t>DM</t>
  </si>
  <si>
    <t>#1A5276</t>
  </si>
  <si>
    <t>#D4E6F1</t>
  </si>
  <si>
    <t>000000</t>
  </si>
  <si>
    <t>00</t>
  </si>
  <si>
    <t>17</t>
  </si>
  <si>
    <t>18</t>
  </si>
  <si>
    <t>39</t>
  </si>
  <si>
    <t>40</t>
  </si>
  <si>
    <t>99</t>
  </si>
  <si>
    <t>0001</t>
  </si>
  <si>
    <t>0002</t>
  </si>
  <si>
    <t>1000</t>
  </si>
  <si>
    <t>Ikke hidtil</t>
  </si>
  <si>
    <t>Aflyst</t>
  </si>
  <si>
    <t>❌❌❌</t>
  </si>
  <si>
    <t>&lt;iconify-icon icon=mdi:cancel-bold style=color:#C0392B&gt;&lt;/iconify-icon&gt;</t>
  </si>
  <si>
    <t>Ping Pong DM 2020</t>
  </si>
  <si>
    <t>Ping Pong DM 2020 - Ping Pong - Single - Sandpapir - Åben</t>
  </si>
  <si>
    <t>Aflyst pga. Covid-19</t>
  </si>
  <si>
    <t>&lt;iconify-icon icon=mdi:run-fast style=color:#E15D21&gt;&lt;/iconify-icon&gt;</t>
  </si>
  <si>
    <t>Spilles lør 22/6 - Åben er for ALLE</t>
  </si>
  <si>
    <t>Spilles fre 21/6 - Åben er for ALLE</t>
  </si>
  <si>
    <t>Spilles lør 22/6 - Ungdom er for 23 år eller derunder</t>
  </si>
  <si>
    <t>Spilles fre 21/6 - Ungdom er for 23 år eller derunder</t>
  </si>
  <si>
    <t>031208‑SIWI</t>
  </si>
  <si>
    <t>Silas Willer</t>
  </si>
  <si>
    <t>Marek Záskodny</t>
  </si>
  <si>
    <t>010100‑0013</t>
  </si>
  <si>
    <t>231175‑JODA</t>
  </si>
  <si>
    <t>Jon Kaas Danielsen</t>
  </si>
  <si>
    <t>050566‑LASL</t>
  </si>
  <si>
    <t>Lars-Henrik Sloth</t>
  </si>
  <si>
    <t>150402‑TIPE</t>
  </si>
  <si>
    <t>Tine Pedersen</t>
  </si>
  <si>
    <t>150207‑MABE</t>
  </si>
  <si>
    <t>Mathias Beshara</t>
  </si>
  <si>
    <t>151009‑MIKL</t>
  </si>
  <si>
    <t>Mikkel Klostergaard</t>
  </si>
  <si>
    <t>Christian Clæsøe Celano</t>
  </si>
  <si>
    <t>010110‑0014</t>
  </si>
  <si>
    <t>211113‑ISKA</t>
  </si>
  <si>
    <t>Isabella Keiser-Kaas</t>
  </si>
  <si>
    <t>020890‑ALCH</t>
  </si>
  <si>
    <t>Alex Christensen</t>
  </si>
  <si>
    <t>010110‑0015</t>
  </si>
  <si>
    <t>Bertram Bach</t>
  </si>
  <si>
    <t>Ping Pong DM 2025</t>
  </si>
  <si>
    <t>Ping Pong DM 2025 - Ping Pong - Single - Træbat - Åben</t>
  </si>
  <si>
    <t>DeltNavn_RD</t>
  </si>
  <si>
    <t>OrdreDatoTid_RD</t>
  </si>
  <si>
    <t>DeltRang1_RD</t>
  </si>
  <si>
    <t>DeltRating2_RD</t>
  </si>
  <si>
    <t>DeltRang3_RD</t>
  </si>
  <si>
    <t>DeltPraemie_RD</t>
  </si>
  <si>
    <t>OrdreStatusKatNr_RD</t>
  </si>
  <si>
    <t>OrdreStatusKatEmoji_RD</t>
  </si>
  <si>
    <t>OrdreStatusSimpelKat_RD</t>
  </si>
  <si>
    <t>OrdreStatusSimpelKatIkon_RD</t>
  </si>
  <si>
    <t>BilletNr_RD</t>
  </si>
  <si>
    <t>BilletStartDatoTid_RD</t>
  </si>
  <si>
    <t>BilletSlutDatoTid_RD</t>
  </si>
  <si>
    <t>BilletBeskr_RD</t>
  </si>
  <si>
    <t>BilletTilvalg_RD</t>
  </si>
  <si>
    <t>BilletPris_RD</t>
  </si>
  <si>
    <t>BilletPrisArr_RD</t>
  </si>
  <si>
    <t>BilletAntalMaks_RD</t>
  </si>
  <si>
    <t>BilletPuljeDelt_RD</t>
  </si>
  <si>
    <t>EventAarNr_RD</t>
  </si>
  <si>
    <t>EventAarFristDatoTid_RD</t>
  </si>
  <si>
    <t>EventAarAabningDatoTid_RD</t>
  </si>
  <si>
    <t>EventAarRatingDato_RD</t>
  </si>
  <si>
    <t>EventAarPraemieSpons_RD</t>
  </si>
  <si>
    <t>EventAarSted_RD</t>
  </si>
  <si>
    <t>EventAarAdr_RD</t>
  </si>
  <si>
    <t>EventAarPostnr_RD</t>
  </si>
  <si>
    <t>EventAarBy_RD</t>
  </si>
  <si>
    <t>EventAarFarve1_RD</t>
  </si>
  <si>
    <t>EventAarFarve2_RD</t>
  </si>
  <si>
    <t>EventAarStedURL_RD</t>
  </si>
  <si>
    <t>EventAarUUID_RD</t>
  </si>
  <si>
    <t>EventAarToken_RD</t>
  </si>
  <si>
    <t>EventNr_RD</t>
  </si>
  <si>
    <t>EventSportsgren_RD</t>
  </si>
  <si>
    <t>EventTurnering_RD</t>
  </si>
  <si>
    <t>BilletKatNr_RD</t>
  </si>
  <si>
    <t>BilletKatEmoji_RD</t>
  </si>
  <si>
    <t>BilletKatIkon_RD</t>
  </si>
  <si>
    <t>BilletDisciplinNr_RD</t>
  </si>
  <si>
    <t>BilletRaekkeNr_RD</t>
  </si>
  <si>
    <t>BilletSpilFormatNr_RD</t>
  </si>
  <si>
    <t>BilletSpilFormatEmoji_RD</t>
  </si>
  <si>
    <t>BilletSpilFormatIkon_RD</t>
  </si>
  <si>
    <t>KlubNr_RD</t>
  </si>
  <si>
    <t>KlubPostnr_RD</t>
  </si>
  <si>
    <t>KlubBy_RD</t>
  </si>
  <si>
    <t>KlubMail_RD</t>
  </si>
  <si>
    <t>KlubLandsdelNr_RD</t>
  </si>
  <si>
    <t>KlubLandsdel_RD</t>
  </si>
  <si>
    <t>KlubEmoji_RD</t>
  </si>
  <si>
    <t>KlubKatIkon_RD</t>
  </si>
  <si>
    <t>KlubRegionNr_RD</t>
  </si>
  <si>
    <t>DeltKoenNr_RD</t>
  </si>
  <si>
    <t>DeltKoenEmoji_RD</t>
  </si>
  <si>
    <t>DeltKoenIkon_RD</t>
  </si>
  <si>
    <t>DeltSlutspilNr_RD</t>
  </si>
  <si>
    <t>DeltPlacNr_RD</t>
  </si>
  <si>
    <t>DeltRatingKatNr_RD</t>
  </si>
  <si>
    <t>DeltRatingKat_RD</t>
  </si>
  <si>
    <t>OrdreFoersteTidKatNr_RD</t>
  </si>
  <si>
    <t>OrdreFoersteTidKat_RD</t>
  </si>
  <si>
    <t>1</t>
  </si>
  <si>
    <t>0</t>
  </si>
  <si>
    <t>DeltAlderKatNr_RD</t>
  </si>
  <si>
    <t>DeltAlderKat_RD</t>
  </si>
  <si>
    <t>DeltKatNr_RD</t>
  </si>
  <si>
    <t>DeltKat_RD</t>
  </si>
  <si>
    <t>DeltGenKat_DW</t>
  </si>
  <si>
    <t>OrdreKat_DW</t>
  </si>
  <si>
    <t>Ping Pong DM 2025 - Ping Pong - Single - Sandpapir - Åben</t>
  </si>
  <si>
    <t>Benjamin B. Rasmussen</t>
  </si>
  <si>
    <t>291102‑BERA</t>
  </si>
  <si>
    <t>300504‑CHHO</t>
  </si>
  <si>
    <t>Cristian David Hold</t>
  </si>
  <si>
    <t>130211‑DYHO</t>
  </si>
  <si>
    <t>Dyveke Hoffmann-Petersen</t>
  </si>
  <si>
    <t>100712‑TEHU</t>
  </si>
  <si>
    <t>Terkel Skau Huulbæk</t>
  </si>
  <si>
    <t>190993‑MANI</t>
  </si>
  <si>
    <t>Martin Lund Nielsen</t>
  </si>
  <si>
    <t>Kildeskoven</t>
  </si>
  <si>
    <t>2820</t>
  </si>
  <si>
    <t>Gentofte</t>
  </si>
  <si>
    <t>christian@fredensborgjakobsen.dk</t>
  </si>
  <si>
    <t>Herning BTK</t>
  </si>
  <si>
    <t>7400</t>
  </si>
  <si>
    <t>herningbtk@gmail.com</t>
  </si>
  <si>
    <t>Klub_ID</t>
  </si>
  <si>
    <t>DeltKoen_ID</t>
  </si>
  <si>
    <t>Billet_ID</t>
  </si>
  <si>
    <t>OrdreStatusKat_ID</t>
  </si>
  <si>
    <t>DeltSlutspil_ID</t>
  </si>
  <si>
    <t>DeltPlac_ID</t>
  </si>
  <si>
    <t>EventAar_ID</t>
  </si>
  <si>
    <t>BilletKat_ID</t>
  </si>
  <si>
    <t>BilletDisciplin_ID</t>
  </si>
  <si>
    <t>BilletRaekke_ID</t>
  </si>
  <si>
    <t>BilletSpilFormat_ID</t>
  </si>
  <si>
    <t>Event_ID</t>
  </si>
  <si>
    <t>KlubRegion_ID</t>
  </si>
  <si>
    <t>DeltKatMaks_ID</t>
  </si>
  <si>
    <t>DeltKatMin_ID</t>
  </si>
  <si>
    <t>OrdreStatusKat_RD</t>
  </si>
  <si>
    <t>EventAar_RD</t>
  </si>
  <si>
    <t>Event_RD</t>
  </si>
  <si>
    <t>BilletKat_RD</t>
  </si>
  <si>
    <t>BilletDisciplin_RD</t>
  </si>
  <si>
    <t>BilletRaekke_RD</t>
  </si>
  <si>
    <t>BilletSpilFormat_RD</t>
  </si>
  <si>
    <t>OrdreKat_ID</t>
  </si>
  <si>
    <t>OrdreKatNr_DW</t>
  </si>
  <si>
    <t>OrdreKatIkon_DW</t>
  </si>
  <si>
    <t>OrdreKatEmoji_DW</t>
  </si>
  <si>
    <t>Klub_RD</t>
  </si>
  <si>
    <t>KlubLandsdelPostnrMin_RD</t>
  </si>
  <si>
    <t>KlubLandsdelPostnrMaks_RD</t>
  </si>
  <si>
    <t>KlubRegion_RD</t>
  </si>
  <si>
    <t>DeltKoen_RD</t>
  </si>
  <si>
    <t>DeltSlutspil_RD</t>
  </si>
  <si>
    <t>DeltPlac_RD</t>
  </si>
  <si>
    <t>DeltRatingKatMin_RD</t>
  </si>
  <si>
    <t>DeltRatingKatMaks_RD</t>
  </si>
  <si>
    <t>DeltAlderKatMin_RD</t>
  </si>
  <si>
    <t>DeltAlderKatMaks_RD</t>
  </si>
  <si>
    <t>DeltGenKatNr_DW</t>
  </si>
  <si>
    <t>DeltGenKat_ID</t>
  </si>
  <si>
    <t>DeltGenKatEmoji_DW</t>
  </si>
  <si>
    <t>DeltGenKatIkon_DW</t>
  </si>
  <si>
    <t>OrdreFoersteTidKatMin_RD</t>
  </si>
  <si>
    <t>OrdreFoersteTidKatMaks_RD</t>
  </si>
  <si>
    <t>Delt_ID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</si>
</sst>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(&quot;kr.&quot;* #,##0_);_(&quot;kr.&quot;* \(#,##0\);_(&quot;kr.&quot;* &quot;-&quot;_);_(@_)"/>
    <numFmt numFmtId="165" formatCode="_(* #,##0_);_(* \(#,##0\);_(* &quot;-&quot;_);_(@_)"/>
    <numFmt numFmtId="166" formatCode="_(&quot;kr.&quot;* #,##0.00_);_(&quot;kr.&quot;* \(#,##0.00\);_(&quot;kr.&quot;* &quot;-&quot;??_);_(@_)"/>
    <numFmt numFmtId="167" formatCode="_(* #,##0.00_);_(* \(#,##0.00\);_(* &quot;-&quot;??_);_(@_)"/>
    <numFmt numFmtId="168" formatCode="[Color10]#,##0;[Color9]\-#,##0"/>
    <numFmt numFmtId="169" formatCode="General;\-General;\-* "/>
    <numFmt numFmtId="170" formatCode="&quot;kr.&quot;\ #,##0"/>
    <numFmt numFmtId="171" formatCode="dd/mm/yyyy\ hh:mm:ss"/>
    <numFmt numFmtId="172" formatCode=";;;&quot;https://www.google.dk/maps/…&quot;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3F"/>
      <name val="Calibri"/>
      <family val="2"/>
      <scheme val="minor"/>
    </font>
    <font>
      <sz val="1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b/>
      <sz val="24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C0006"/>
      </top>
      <bottom style="thin">
        <color rgb="FF9C0006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indexed="64"/>
      </bottom>
      <diagonal/>
    </border>
  </borders>
  <cellStyleXfs count="56">
    <xf numFmtId="0" fontId="0" fillId="0" borderId="0"/>
    <xf numFmtId="3" fontId="2" fillId="2" borderId="5">
      <alignment horizontal="right"/>
      <protection locked="0"/>
    </xf>
    <xf numFmtId="38" fontId="15" fillId="0" borderId="0" applyFill="0" applyBorder="0" applyAlignment="0"/>
    <xf numFmtId="168" fontId="1" fillId="0" borderId="1" applyFill="0" applyProtection="0">
      <alignment horizontal="right"/>
    </xf>
    <xf numFmtId="168" fontId="16" fillId="3" borderId="0" applyBorder="0">
      <alignment horizontal="right"/>
    </xf>
    <xf numFmtId="0" fontId="9" fillId="0" borderId="0" applyNumberFormat="0" applyFill="0" applyBorder="0" applyAlignment="0" applyProtection="0"/>
    <xf numFmtId="0" fontId="3" fillId="4" borderId="0" applyBorder="0" applyProtection="0">
      <alignment horizontal="center" vertical="center" wrapText="1"/>
    </xf>
    <xf numFmtId="0" fontId="6" fillId="0" borderId="0" applyNumberFormat="0" applyFill="0" applyBorder="0" applyProtection="0">
      <alignment horizontal="left"/>
    </xf>
    <xf numFmtId="0" fontId="4" fillId="0" borderId="0" applyNumberFormat="0" applyFill="0" applyBorder="0">
      <alignment horizontal="left"/>
      <protection locked="0"/>
    </xf>
    <xf numFmtId="0" fontId="5" fillId="0" borderId="0" applyNumberFormat="0" applyFill="0" applyBorder="0" applyProtection="0"/>
    <xf numFmtId="0" fontId="8" fillId="7" borderId="2" applyNumberFormat="0" applyAlignment="0" applyProtection="0"/>
    <xf numFmtId="168" fontId="16" fillId="3" borderId="0" applyBorder="0">
      <alignment horizontal="right"/>
    </xf>
    <xf numFmtId="3" fontId="7" fillId="5" borderId="6" applyProtection="0">
      <alignment horizontal="right"/>
    </xf>
    <xf numFmtId="3" fontId="17" fillId="6" borderId="0" applyBorder="0" applyProtection="0">
      <alignment horizontal="right"/>
    </xf>
    <xf numFmtId="0" fontId="11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0" fillId="8" borderId="4" applyNumberFormat="0" applyFont="0" applyAlignment="0" applyProtection="0"/>
    <xf numFmtId="0" fontId="13" fillId="0" borderId="0" applyNumberFormat="0" applyFill="0" applyBorder="0" applyAlignment="0" applyProtection="0"/>
    <xf numFmtId="0" fontId="14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4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4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4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4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4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9" fontId="10" fillId="0" borderId="0" applyFont="0" applyFill="0" applyBorder="0" applyAlignment="0" applyProtection="0"/>
    <xf numFmtId="38" fontId="15" fillId="0" borderId="0" applyFill="0" applyBorder="0">
      <alignment horizontal="right"/>
    </xf>
    <xf numFmtId="0" fontId="5" fillId="0" borderId="0" applyNumberFormat="0" applyFill="0" applyBorder="0" applyProtection="0">
      <alignment horizontal="right"/>
    </xf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3" fillId="0" borderId="0"/>
    <xf numFmtId="169" fontId="20" fillId="0" borderId="0" applyNumberFormat="0" applyFill="0" applyBorder="0" applyAlignment="0" applyProtection="0"/>
    <xf numFmtId="0" fontId="1" fillId="0" borderId="7" applyNumberFormat="0" applyFill="0" applyAlignment="0"/>
    <xf numFmtId="0" fontId="21" fillId="0" borderId="0" applyNumberFormat="0" applyFill="0" applyBorder="0" applyAlignment="0" applyProtection="0">
      <protection locked="0"/>
    </xf>
    <xf numFmtId="0" fontId="20" fillId="0" borderId="0" applyNumberFormat="0" applyFill="0" applyBorder="0" applyAlignment="0" applyProtection="0">
      <protection locked="0"/>
    </xf>
    <xf numFmtId="0" fontId="19" fillId="0" borderId="0">
      <alignment horizontal="center"/>
    </xf>
    <xf numFmtId="0" fontId="19" fillId="0" borderId="0">
      <alignment horizontal="center"/>
    </xf>
  </cellStyleXfs>
  <cellXfs count="27">
    <xf numFmtId="0" fontId="0" fillId="0" borderId="0" xfId="0"/>
    <xf numFmtId="49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/>
    <xf numFmtId="0" fontId="1" fillId="0" borderId="0" xfId="0" applyFont="1"/>
    <xf numFmtId="1" fontId="0" fillId="33" borderId="0" xfId="0" applyNumberFormat="1" applyFill="1" applyAlignment="1">
      <alignment horizontal="center"/>
    </xf>
    <xf numFmtId="1" fontId="0" fillId="36" borderId="0" xfId="0" applyNumberFormat="1" applyFill="1" applyAlignment="1">
      <alignment horizontal="center"/>
    </xf>
    <xf numFmtId="171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3" fontId="0" fillId="34" borderId="10" xfId="0" applyNumberFormat="1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3" fontId="0" fillId="33" borderId="0" xfId="0" applyNumberFormat="1" applyFill="1" applyAlignment="1">
      <alignment horizontal="center"/>
    </xf>
    <xf numFmtId="49" fontId="1" fillId="35" borderId="5" xfId="0" applyNumberFormat="1" applyFont="1" applyFill="1" applyBorder="1"/>
    <xf numFmtId="49" fontId="1" fillId="35" borderId="8" xfId="0" applyNumberFormat="1" applyFont="1" applyFill="1" applyBorder="1" applyAlignment="1">
      <alignment horizontal="center"/>
    </xf>
    <xf numFmtId="49" fontId="0" fillId="34" borderId="9" xfId="0" applyNumberFormat="1" applyFill="1" applyBorder="1"/>
    <xf numFmtId="49" fontId="0" fillId="34" borderId="11" xfId="0" applyNumberFormat="1" applyFill="1" applyBorder="1"/>
    <xf numFmtId="171" fontId="0" fillId="0" borderId="0" xfId="0" applyNumberFormat="1" applyAlignment="1">
      <alignment horizontal="left"/>
    </xf>
    <xf numFmtId="0" fontId="1" fillId="36" borderId="0" xfId="0" applyFont="1" applyFill="1"/>
    <xf numFmtId="14" fontId="0" fillId="0" borderId="0" xfId="0" applyNumberFormat="1" applyAlignment="1">
      <alignment horizontal="center"/>
    </xf>
    <xf numFmtId="172" fontId="0" fillId="0" borderId="0" xfId="0" applyNumberFormat="1"/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/>
  </cellXfs>
  <cellStyles count="57">
    <cellStyle name="20 % - Farve1" xfId="19" builtinId="30" hidden="1"/>
    <cellStyle name="20 % - Farve2" xfId="23" builtinId="34" hidden="1"/>
    <cellStyle name="20 % - Farve3" xfId="27" builtinId="38" hidden="1"/>
    <cellStyle name="20 % - Farve4" xfId="31" builtinId="42" hidden="1"/>
    <cellStyle name="20 % - Farve5" xfId="35" builtinId="46" hidden="1"/>
    <cellStyle name="20 % - Farve6" xfId="39" builtinId="50" hidden="1"/>
    <cellStyle name="40 % - Farve1" xfId="20" builtinId="31" hidden="1"/>
    <cellStyle name="40 % - Farve2" xfId="24" builtinId="35" hidden="1"/>
    <cellStyle name="40 % - Farve3" xfId="28" builtinId="39" hidden="1"/>
    <cellStyle name="40 % - Farve4" xfId="32" builtinId="43" hidden="1"/>
    <cellStyle name="40 % - Farve5" xfId="36" builtinId="47" hidden="1"/>
    <cellStyle name="40 % - Farve6" xfId="40" builtinId="51" hidden="1"/>
    <cellStyle name="60 % - Farve1" xfId="21" builtinId="32" hidden="1"/>
    <cellStyle name="60 % - Farve2" xfId="25" builtinId="36" hidden="1"/>
    <cellStyle name="60 % - Farve3" xfId="29" builtinId="40" hidden="1"/>
    <cellStyle name="60 % - Farve4" xfId="33" builtinId="44" hidden="1"/>
    <cellStyle name="60 % - Farve5" xfId="37" builtinId="48" hidden="1"/>
    <cellStyle name="60 % - Farve6" xfId="41" builtinId="52" hidden="1"/>
    <cellStyle name="Advarselstekst" xfId="15" builtinId="11" hidden="1"/>
    <cellStyle name="Bemærk!" xfId="16" builtinId="10" hidden="1"/>
    <cellStyle name="Beregning" xfId="4" builtinId="22" hidden="1" customBuiltin="1"/>
    <cellStyle name="Besøgt link" xfId="50" builtinId="9" hidden="1"/>
    <cellStyle name="Besøgt link" xfId="53" builtinId="9" hidden="1"/>
    <cellStyle name="Farve1" xfId="18" builtinId="29" hidden="1"/>
    <cellStyle name="Farve2" xfId="22" builtinId="33" hidden="1"/>
    <cellStyle name="Farve3" xfId="26" builtinId="37" hidden="1"/>
    <cellStyle name="Farve4" xfId="30" builtinId="41" hidden="1"/>
    <cellStyle name="Farve5" xfId="34" builtinId="45" hidden="1"/>
    <cellStyle name="Farve6" xfId="38" builtinId="49" hidden="1"/>
    <cellStyle name="Forklarende tekst" xfId="17" builtinId="53" hidden="1"/>
    <cellStyle name="God" xfId="11" builtinId="26" hidden="1" customBuiltin="1"/>
    <cellStyle name="God" xfId="11" builtinId="26" hidden="1" customBuiltin="1"/>
    <cellStyle name="Input" xfId="1" builtinId="20" hidden="1" customBuiltin="1"/>
    <cellStyle name="Komma" xfId="45" builtinId="3" hidden="1"/>
    <cellStyle name="Komma [0]" xfId="46" builtinId="6" hidden="1"/>
    <cellStyle name="Kontrollér celle" xfId="10" builtinId="23" hidden="1" customBuiltin="1"/>
    <cellStyle name="Link" xfId="52" builtinId="8" hidden="1"/>
    <cellStyle name="Neutral" xfId="13" builtinId="28" hidden="1" customBuiltin="1"/>
    <cellStyle name="Normal" xfId="0" builtinId="0" customBuiltin="1"/>
    <cellStyle name="Output" xfId="2" builtinId="21" hidden="1" customBuiltin="1"/>
    <cellStyle name="Output" xfId="43" builtinId="21" hidden="1"/>
    <cellStyle name="Overskrift" xfId="49" xr:uid="{32080343-B5E3-4837-84B5-DEC82796A2E9}"/>
    <cellStyle name="Overskrift 1" xfId="6" builtinId="16" hidden="1" customBuiltin="1"/>
    <cellStyle name="Overskrift 2" xfId="7" builtinId="17" hidden="1" customBuiltin="1"/>
    <cellStyle name="Overskrift 3" xfId="8" builtinId="18" hidden="1" customBuiltin="1"/>
    <cellStyle name="Overskrift 4" xfId="9" builtinId="19" hidden="1" customBuiltin="1"/>
    <cellStyle name="Overskrift 4" xfId="44" builtinId="19" hidden="1" customBuiltin="1"/>
    <cellStyle name="Procent" xfId="42" builtinId="5" hidden="1"/>
    <cellStyle name="Sammenkædet celle" xfId="14" builtinId="24" hidden="1"/>
    <cellStyle name="Titel" xfId="5" hidden="1" xr:uid="{7505016B-9FD9-47B6-923E-DC4222230BA1}"/>
    <cellStyle name="Titel" xfId="54" builtinId="15" hidden="1"/>
    <cellStyle name="Titel" xfId="55" xr:uid="{8826129C-91EA-48B3-82F4-233C8D2D53DD}"/>
    <cellStyle name="Total" xfId="3" builtinId="25" hidden="1" customBuiltin="1"/>
    <cellStyle name="Total" xfId="51" xr:uid="{355AC1BB-A5B7-4C80-A248-FC1CFF171C80}"/>
    <cellStyle name="Ugyldig" xfId="12" builtinId="27" hidden="1" customBuiltin="1"/>
    <cellStyle name="Valuta" xfId="47" builtinId="4" hidden="1"/>
    <cellStyle name="Valuta [0]" xfId="48" builtinId="7" hidden="1"/>
  </cellStyles>
  <dxfs count="192">
    <dxf>
      <numFmt numFmtId="30" formatCode="@"/>
    </dxf>
    <dxf>
      <numFmt numFmtId="30" formatCode="@"/>
    </dxf>
    <dxf>
      <numFmt numFmtId="30" formatCode="@"/>
    </dxf>
    <dxf>
      <font>
        <b/>
      </font>
      <numFmt numFmtId="30" formatCode="@"/>
      <alignment horizontal="general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</font>
      <numFmt numFmtId="30" formatCode="@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</font>
      <numFmt numFmtId="30" formatCode="@"/>
      <alignment horizontal="general" vertical="bottom" textRotation="0" wrapText="0" indent="0" justifyLastLine="0" shrinkToFit="0" readingOrder="0"/>
    </dxf>
    <dxf>
      <font>
        <b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</font>
      <numFmt numFmtId="30" formatCode="@"/>
      <alignment horizontal="center" vertical="bottom" textRotation="0" wrapText="0" indent="0" justifyLastLine="0" shrinkToFit="0" readingOrder="0"/>
    </dxf>
    <dxf>
      <font>
        <b/>
      </font>
      <numFmt numFmtId="1" formatCode="0"/>
      <alignment horizontal="center" vertical="bottom" textRotation="0" wrapText="0" indent="0" justifyLastLine="0" shrinkToFit="0" readingOrder="0"/>
    </dxf>
    <dxf>
      <font>
        <b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font>
        <b/>
      </font>
      <numFmt numFmtId="30" formatCode="@"/>
      <alignment horizontal="general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font>
        <b/>
      </font>
      <numFmt numFmtId="30" formatCode="@"/>
      <alignment horizontal="general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/>
      </font>
      <numFmt numFmtId="30" formatCode="@"/>
      <alignment horizontal="general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font>
        <b/>
      </font>
      <numFmt numFmtId="30" formatCode="@"/>
      <alignment horizontal="general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font>
        <b/>
      </font>
      <numFmt numFmtId="30" formatCode="@"/>
      <alignment horizontal="center" vertical="bottom" textRotation="0" wrapText="0" indent="0" justifyLastLine="0" shrinkToFit="0" readingOrder="0"/>
    </dxf>
    <dxf>
      <font>
        <b/>
      </font>
      <numFmt numFmtId="30" formatCode="@"/>
      <alignment horizontal="center" vertical="bottom" textRotation="0" wrapText="0" indent="0" justifyLastLine="0" shrinkToFit="0" readingOrder="0"/>
    </dxf>
    <dxf>
      <font>
        <b/>
      </font>
      <numFmt numFmtId="30" formatCode="@"/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/>
      </font>
      <numFmt numFmtId="30" formatCode="@"/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font>
        <b/>
      </font>
      <numFmt numFmtId="30" formatCode="@"/>
      <alignment horizontal="general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</font>
      <numFmt numFmtId="30" formatCode="@"/>
      <alignment horizontal="center" vertical="bottom" textRotation="0" wrapText="0" indent="0" justifyLastLine="0" shrinkToFit="0" readingOrder="0"/>
    </dxf>
    <dxf>
      <font>
        <b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numFmt numFmtId="30" formatCode="@"/>
    </dxf>
    <dxf>
      <font>
        <b/>
      </font>
      <numFmt numFmtId="30" formatCode="@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font>
        <b/>
      </font>
      <numFmt numFmtId="30" formatCode="@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font>
        <b/>
      </font>
      <numFmt numFmtId="30" formatCode="@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numFmt numFmtId="30" formatCode="@"/>
    </dxf>
    <dxf>
      <font>
        <b/>
      </font>
      <numFmt numFmtId="30" formatCode="@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numFmt numFmtId="30" formatCode="@"/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72" formatCode=";;;&quot;https://www.google.dk/maps/…&quot;"/>
    </dxf>
    <dxf>
      <numFmt numFmtId="30" formatCode="@"/>
    </dxf>
    <dxf>
      <numFmt numFmtId="30" formatCode="@"/>
    </dxf>
    <dxf>
      <numFmt numFmtId="30" formatCode="@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</font>
      <numFmt numFmtId="171" formatCode="dd/mm/yyyy\ hh:mm:ss"/>
      <alignment horizontal="center" vertical="bottom" textRotation="0" wrapText="0" indent="0" justifyLastLine="0" shrinkToFit="0" readingOrder="0"/>
    </dxf>
    <dxf>
      <numFmt numFmtId="171" formatCode="dd/mm/yyyy\ hh:mm:ss"/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</dxf>
    <dxf>
      <font>
        <b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</font>
      <numFmt numFmtId="170" formatCode="&quot;kr.&quot;\ 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</font>
      <numFmt numFmtId="170" formatCode="&quot;kr.&quot;\ 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</font>
      <numFmt numFmtId="30" formatCode="@"/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</font>
      <numFmt numFmtId="30" formatCode="@"/>
      <fill>
        <patternFill patternType="none">
          <fgColor indexed="64"/>
          <bgColor auto="1"/>
        </patternFill>
      </fill>
    </dxf>
    <dxf>
      <numFmt numFmtId="171" formatCode="dd/mm/yyyy\ hh:mm:ss"/>
      <alignment horizontal="center" vertical="bottom" textRotation="0" wrapText="0" indent="0" justifyLastLine="0" shrinkToFit="0" readingOrder="0"/>
    </dxf>
    <dxf>
      <numFmt numFmtId="171" formatCode="dd/mm/yyyy\ hh:mm:ss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/>
      </font>
      <numFmt numFmtId="30" formatCode="@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70" formatCode="&quot;kr.&quot;\ 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71" formatCode="dd/mm/yyyy\ hh:mm:ss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</dxf>
    <dxf>
      <border diagonalUp="0" diagonalDown="0">
        <left style="thin">
          <color theme="7" tint="0.39994506668294322"/>
        </left>
        <right style="thin">
          <color theme="7" tint="0.39994506668294322"/>
        </right>
        <top style="thin">
          <color theme="7" tint="0.39994506668294322"/>
        </top>
        <bottom style="thin">
          <color theme="7" tint="0.39994506668294322"/>
        </bottom>
        <vertical/>
        <horizontal/>
      </border>
    </dxf>
    <dxf>
      <font>
        <b/>
        <i val="0"/>
      </font>
    </dxf>
    <dxf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/>
        <i val="0"/>
      </font>
      <border>
        <top style="thin">
          <color theme="4"/>
        </top>
        <bottom style="thin">
          <color theme="4"/>
        </bottom>
      </border>
    </dxf>
    <dxf>
      <font>
        <b/>
        <i val="0"/>
        <strike val="0"/>
      </font>
    </dxf>
    <dxf>
      <font>
        <b/>
        <i val="0"/>
        <u val="none"/>
      </font>
      <border>
        <top style="thin">
          <color theme="4"/>
        </top>
        <bottom style="double">
          <color theme="4"/>
        </bottom>
      </border>
    </dxf>
    <dxf>
      <font>
        <b/>
        <i val="0"/>
        <color theme="0"/>
      </font>
      <fill>
        <patternFill>
          <bgColor theme="4"/>
        </patternFill>
      </fill>
    </dxf>
    <dxf>
      <fill>
        <patternFill patternType="solid">
          <bgColor theme="0"/>
        </patternFill>
      </fill>
      <border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>
          <bgColor theme="0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>
          <bgColor theme="0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horizontal style="thin">
          <color theme="7" tint="0.39997558519241921"/>
        </horizontal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>
          <bgColor theme="0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horizontal style="thin">
          <color theme="6" tint="0.39997558519241921"/>
        </horizontal>
      </border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>
          <bgColor theme="0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9"/>
        </top>
      </border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color theme="1"/>
      </font>
      <border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horizontal style="thin">
          <color theme="9" tint="0.39997558519241921"/>
        </horizont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theme="0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</dxfs>
  <tableStyles count="8" defaultTableStyle="Blå" defaultPivotStyle="Standard">
    <tableStyle name="Blå" pivot="0" count="8" xr9:uid="{92B3E63A-0F2E-46B7-98CA-FDBC313FBCCF}">
      <tableStyleElement type="wholeTable" dxfId="191"/>
      <tableStyleElement type="headerRow" dxfId="190"/>
      <tableStyleElement type="totalRow" dxfId="189"/>
      <tableStyleElement type="firstColumn" dxfId="188"/>
      <tableStyleElement type="lastColumn" dxfId="187"/>
      <tableStyleElement type="firstRowStripe" dxfId="186"/>
      <tableStyleElement type="secondRowStripe" dxfId="185"/>
      <tableStyleElement type="firstColumnStripe" dxfId="184"/>
    </tableStyle>
    <tableStyle name="Grøn" pivot="0" count="8" xr9:uid="{F4140A0C-86E2-4503-8112-C4B580794A03}">
      <tableStyleElement type="wholeTable" dxfId="183"/>
      <tableStyleElement type="headerRow" dxfId="182"/>
      <tableStyleElement type="totalRow" dxfId="181"/>
      <tableStyleElement type="firstColumn" dxfId="180"/>
      <tableStyleElement type="lastColumn" dxfId="179"/>
      <tableStyleElement type="firstRowStripe" dxfId="178"/>
      <tableStyleElement type="secondRowStripe" dxfId="177"/>
      <tableStyleElement type="firstColumnStripe" dxfId="176"/>
    </tableStyle>
    <tableStyle name="Grå" pivot="0" count="8" xr9:uid="{E410E5EA-37D7-458F-8755-19B74A2CA99C}">
      <tableStyleElement type="wholeTable" dxfId="175"/>
      <tableStyleElement type="headerRow" dxfId="174"/>
      <tableStyleElement type="totalRow" dxfId="173"/>
      <tableStyleElement type="firstColumn" dxfId="172"/>
      <tableStyleElement type="lastColumn" dxfId="171"/>
      <tableStyleElement type="firstRowStripe" dxfId="170"/>
      <tableStyleElement type="secondRowStripe" dxfId="169"/>
      <tableStyleElement type="firstColumnStripe" dxfId="168"/>
    </tableStyle>
    <tableStyle name="Gul" pivot="0" count="8" xr9:uid="{72C5482E-DDBB-4638-8BB6-1E39B90B7333}">
      <tableStyleElement type="wholeTable" dxfId="167"/>
      <tableStyleElement type="headerRow" dxfId="166"/>
      <tableStyleElement type="totalRow" dxfId="165"/>
      <tableStyleElement type="firstColumn" dxfId="164"/>
      <tableStyleElement type="lastColumn" dxfId="163"/>
      <tableStyleElement type="firstRowStripe" dxfId="162"/>
      <tableStyleElement type="secondRowStripe" dxfId="161"/>
      <tableStyleElement type="firstColumnStripe" dxfId="160"/>
    </tableStyle>
    <tableStyle name="Orange" pivot="0" count="8" xr9:uid="{E1E4676C-147E-4FE9-8B94-F7FA597F47F0}">
      <tableStyleElement type="wholeTable" dxfId="159"/>
      <tableStyleElement type="headerRow" dxfId="158"/>
      <tableStyleElement type="totalRow" dxfId="157"/>
      <tableStyleElement type="firstColumn" dxfId="156"/>
      <tableStyleElement type="lastColumn" dxfId="155"/>
      <tableStyleElement type="firstRowStripe" dxfId="154"/>
      <tableStyleElement type="secondRowStripe" dxfId="153"/>
      <tableStyleElement type="firstColumnStripe" dxfId="152"/>
    </tableStyle>
    <tableStyle name="Standard" table="0" count="5" xr9:uid="{5C543DF5-2A19-4FE4-BD58-90EE4B579F12}">
      <tableStyleElement type="wholeTable" dxfId="151"/>
      <tableStyleElement type="headerRow" dxfId="150"/>
      <tableStyleElement type="totalRow" dxfId="149"/>
      <tableStyleElement type="lastColumn" dxfId="148"/>
      <tableStyleElement type="firstRowSubheading" dxfId="147"/>
    </tableStyle>
    <tableStyle name="Udsnitstypografi 2" pivot="0" table="0" count="10" xr9:uid="{397B50CD-B739-4D02-9B84-A8CD8AAAF756}">
      <tableStyleElement type="wholeTable" dxfId="146"/>
      <tableStyleElement type="headerRow" dxfId="145"/>
    </tableStyle>
    <tableStyle name="Udsnitstypografi 3" pivot="0" table="0" count="10" xr9:uid="{037C1494-BC0C-4B01-B068-820466F2E9A5}">
      <tableStyleElement type="wholeTable" dxfId="144"/>
      <tableStyleElement type="headerRow" dxfId="143"/>
    </tableStyle>
  </tableStyles>
  <colors>
    <mruColors>
      <color rgb="FFF92F60"/>
      <color rgb="FFF70A8D"/>
      <color rgb="FF635994"/>
      <color rgb="FFFF6723"/>
      <color rgb="FF00D26A"/>
      <color rgb="FF00A6ED"/>
      <color rgb="FF6B438B"/>
      <color rgb="FFE5336D"/>
      <color rgb="FFF9C23C"/>
      <color rgb="FF3F5FFF"/>
    </mruColors>
  </colors>
  <extLst>
    <ext xmlns:x14="http://schemas.microsoft.com/office/spreadsheetml/2009/9/main" uri="{46F421CA-312F-682f-3DD2-61675219B42D}">
      <x14:dxfs count="16"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trike val="0"/>
          </font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auto="1"/>
          </font>
          <fill>
            <patternFill>
              <bgColor theme="7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trike/>
          </font>
          <fill>
            <patternFill>
              <bgColor theme="5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trike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trike val="0"/>
          </font>
          <fill>
            <patternFill>
              <bgColor theme="9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auto="1"/>
          </font>
          <fill>
            <patternFill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trike/>
          </font>
          <fill>
            <patternFill>
              <bgColor theme="5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trike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Udsnitstypografi 2">
        <x14:slicerStyle name="Udsnitstypografi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Udsnitstypografi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customXml" Target="../customXml/item90.xml"/><Relationship Id="rId299" Type="http://schemas.openxmlformats.org/officeDocument/2006/relationships/customXml" Target="../customXml/item272.xml"/><Relationship Id="rId303" Type="http://schemas.openxmlformats.org/officeDocument/2006/relationships/customXml" Target="../customXml/item276.xml"/><Relationship Id="rId21" Type="http://schemas.openxmlformats.org/officeDocument/2006/relationships/worksheet" Target="worksheets/sheet21.xml"/><Relationship Id="rId42" Type="http://schemas.openxmlformats.org/officeDocument/2006/relationships/customXml" Target="../customXml/item15.xml"/><Relationship Id="rId63" Type="http://schemas.openxmlformats.org/officeDocument/2006/relationships/customXml" Target="../customXml/item36.xml"/><Relationship Id="rId84" Type="http://schemas.openxmlformats.org/officeDocument/2006/relationships/customXml" Target="../customXml/item57.xml"/><Relationship Id="rId138" Type="http://schemas.openxmlformats.org/officeDocument/2006/relationships/customXml" Target="../customXml/item111.xml"/><Relationship Id="rId159" Type="http://schemas.openxmlformats.org/officeDocument/2006/relationships/customXml" Target="../customXml/item132.xml"/><Relationship Id="rId324" Type="http://schemas.openxmlformats.org/officeDocument/2006/relationships/customXml" Target="../customXml/item297.xml"/><Relationship Id="rId345" Type="http://schemas.openxmlformats.org/officeDocument/2006/relationships/customXml" Target="../customXml/item318.xml"/><Relationship Id="rId170" Type="http://schemas.openxmlformats.org/officeDocument/2006/relationships/customXml" Target="../customXml/item143.xml"/><Relationship Id="rId191" Type="http://schemas.openxmlformats.org/officeDocument/2006/relationships/customXml" Target="../customXml/item164.xml"/><Relationship Id="rId205" Type="http://schemas.openxmlformats.org/officeDocument/2006/relationships/customXml" Target="../customXml/item178.xml"/><Relationship Id="rId226" Type="http://schemas.openxmlformats.org/officeDocument/2006/relationships/customXml" Target="../customXml/item199.xml"/><Relationship Id="rId247" Type="http://schemas.openxmlformats.org/officeDocument/2006/relationships/customXml" Target="../customXml/item220.xml"/><Relationship Id="rId107" Type="http://schemas.openxmlformats.org/officeDocument/2006/relationships/customXml" Target="../customXml/item80.xml"/><Relationship Id="rId268" Type="http://schemas.openxmlformats.org/officeDocument/2006/relationships/customXml" Target="../customXml/item241.xml"/><Relationship Id="rId289" Type="http://schemas.openxmlformats.org/officeDocument/2006/relationships/customXml" Target="../customXml/item262.xml"/><Relationship Id="rId11" Type="http://schemas.openxmlformats.org/officeDocument/2006/relationships/worksheet" Target="worksheets/sheet11.xml"/><Relationship Id="rId32" Type="http://schemas.openxmlformats.org/officeDocument/2006/relationships/customXml" Target="../customXml/item5.xml"/><Relationship Id="rId53" Type="http://schemas.openxmlformats.org/officeDocument/2006/relationships/customXml" Target="../customXml/item26.xml"/><Relationship Id="rId74" Type="http://schemas.openxmlformats.org/officeDocument/2006/relationships/customXml" Target="../customXml/item47.xml"/><Relationship Id="rId128" Type="http://schemas.openxmlformats.org/officeDocument/2006/relationships/customXml" Target="../customXml/item101.xml"/><Relationship Id="rId149" Type="http://schemas.openxmlformats.org/officeDocument/2006/relationships/customXml" Target="../customXml/item122.xml"/><Relationship Id="rId314" Type="http://schemas.openxmlformats.org/officeDocument/2006/relationships/customXml" Target="../customXml/item287.xml"/><Relationship Id="rId335" Type="http://schemas.openxmlformats.org/officeDocument/2006/relationships/customXml" Target="../customXml/item308.xml"/><Relationship Id="rId356" Type="http://schemas.openxmlformats.org/officeDocument/2006/relationships/customXml" Target="../customXml/item329.xml"/><Relationship Id="rId5" Type="http://schemas.openxmlformats.org/officeDocument/2006/relationships/worksheet" Target="worksheets/sheet5.xml"/><Relationship Id="rId95" Type="http://schemas.openxmlformats.org/officeDocument/2006/relationships/customXml" Target="../customXml/item68.xml"/><Relationship Id="rId160" Type="http://schemas.openxmlformats.org/officeDocument/2006/relationships/customXml" Target="../customXml/item133.xml"/><Relationship Id="rId181" Type="http://schemas.openxmlformats.org/officeDocument/2006/relationships/customXml" Target="../customXml/item154.xml"/><Relationship Id="rId216" Type="http://schemas.openxmlformats.org/officeDocument/2006/relationships/customXml" Target="../customXml/item189.xml"/><Relationship Id="rId237" Type="http://schemas.openxmlformats.org/officeDocument/2006/relationships/customXml" Target="../customXml/item210.xml"/><Relationship Id="rId258" Type="http://schemas.openxmlformats.org/officeDocument/2006/relationships/customXml" Target="../customXml/item231.xml"/><Relationship Id="rId279" Type="http://schemas.openxmlformats.org/officeDocument/2006/relationships/customXml" Target="../customXml/item252.xml"/><Relationship Id="rId22" Type="http://schemas.openxmlformats.org/officeDocument/2006/relationships/worksheet" Target="worksheets/sheet22.xml"/><Relationship Id="rId43" Type="http://schemas.openxmlformats.org/officeDocument/2006/relationships/customXml" Target="../customXml/item16.xml"/><Relationship Id="rId64" Type="http://schemas.openxmlformats.org/officeDocument/2006/relationships/customXml" Target="../customXml/item37.xml"/><Relationship Id="rId118" Type="http://schemas.openxmlformats.org/officeDocument/2006/relationships/customXml" Target="../customXml/item91.xml"/><Relationship Id="rId139" Type="http://schemas.openxmlformats.org/officeDocument/2006/relationships/customXml" Target="../customXml/item112.xml"/><Relationship Id="rId290" Type="http://schemas.openxmlformats.org/officeDocument/2006/relationships/customXml" Target="../customXml/item263.xml"/><Relationship Id="rId304" Type="http://schemas.openxmlformats.org/officeDocument/2006/relationships/customXml" Target="../customXml/item277.xml"/><Relationship Id="rId325" Type="http://schemas.openxmlformats.org/officeDocument/2006/relationships/customXml" Target="../customXml/item298.xml"/><Relationship Id="rId346" Type="http://schemas.openxmlformats.org/officeDocument/2006/relationships/customXml" Target="../customXml/item319.xml"/><Relationship Id="rId85" Type="http://schemas.openxmlformats.org/officeDocument/2006/relationships/customXml" Target="../customXml/item58.xml"/><Relationship Id="rId150" Type="http://schemas.openxmlformats.org/officeDocument/2006/relationships/customXml" Target="../customXml/item123.xml"/><Relationship Id="rId171" Type="http://schemas.openxmlformats.org/officeDocument/2006/relationships/customXml" Target="../customXml/item144.xml"/><Relationship Id="rId192" Type="http://schemas.openxmlformats.org/officeDocument/2006/relationships/customXml" Target="../customXml/item165.xml"/><Relationship Id="rId206" Type="http://schemas.openxmlformats.org/officeDocument/2006/relationships/customXml" Target="../customXml/item179.xml"/><Relationship Id="rId227" Type="http://schemas.openxmlformats.org/officeDocument/2006/relationships/customXml" Target="../customXml/item200.xml"/><Relationship Id="rId248" Type="http://schemas.openxmlformats.org/officeDocument/2006/relationships/customXml" Target="../customXml/item221.xml"/><Relationship Id="rId269" Type="http://schemas.openxmlformats.org/officeDocument/2006/relationships/customXml" Target="../customXml/item242.xml"/><Relationship Id="rId12" Type="http://schemas.openxmlformats.org/officeDocument/2006/relationships/worksheet" Target="worksheets/sheet12.xml"/><Relationship Id="rId33" Type="http://schemas.openxmlformats.org/officeDocument/2006/relationships/customXml" Target="../customXml/item6.xml"/><Relationship Id="rId108" Type="http://schemas.openxmlformats.org/officeDocument/2006/relationships/customXml" Target="../customXml/item81.xml"/><Relationship Id="rId129" Type="http://schemas.openxmlformats.org/officeDocument/2006/relationships/customXml" Target="../customXml/item102.xml"/><Relationship Id="rId280" Type="http://schemas.openxmlformats.org/officeDocument/2006/relationships/customXml" Target="../customXml/item253.xml"/><Relationship Id="rId315" Type="http://schemas.openxmlformats.org/officeDocument/2006/relationships/customXml" Target="../customXml/item288.xml"/><Relationship Id="rId336" Type="http://schemas.openxmlformats.org/officeDocument/2006/relationships/customXml" Target="../customXml/item309.xml"/><Relationship Id="rId357" Type="http://schemas.openxmlformats.org/officeDocument/2006/relationships/customXml" Target="../customXml/item330.xml"/><Relationship Id="rId54" Type="http://schemas.openxmlformats.org/officeDocument/2006/relationships/customXml" Target="../customXml/item27.xml"/><Relationship Id="rId75" Type="http://schemas.openxmlformats.org/officeDocument/2006/relationships/customXml" Target="../customXml/item48.xml"/><Relationship Id="rId96" Type="http://schemas.openxmlformats.org/officeDocument/2006/relationships/customXml" Target="../customXml/item69.xml"/><Relationship Id="rId140" Type="http://schemas.openxmlformats.org/officeDocument/2006/relationships/customXml" Target="../customXml/item113.xml"/><Relationship Id="rId161" Type="http://schemas.openxmlformats.org/officeDocument/2006/relationships/customXml" Target="../customXml/item134.xml"/><Relationship Id="rId182" Type="http://schemas.openxmlformats.org/officeDocument/2006/relationships/customXml" Target="../customXml/item155.xml"/><Relationship Id="rId217" Type="http://schemas.openxmlformats.org/officeDocument/2006/relationships/customXml" Target="../customXml/item190.xml"/><Relationship Id="rId6" Type="http://schemas.openxmlformats.org/officeDocument/2006/relationships/worksheet" Target="worksheets/sheet6.xml"/><Relationship Id="rId238" Type="http://schemas.openxmlformats.org/officeDocument/2006/relationships/customXml" Target="../customXml/item211.xml"/><Relationship Id="rId259" Type="http://schemas.openxmlformats.org/officeDocument/2006/relationships/customXml" Target="../customXml/item232.xml"/><Relationship Id="rId23" Type="http://schemas.openxmlformats.org/officeDocument/2006/relationships/theme" Target="theme/theme1.xml"/><Relationship Id="rId119" Type="http://schemas.openxmlformats.org/officeDocument/2006/relationships/customXml" Target="../customXml/item92.xml"/><Relationship Id="rId270" Type="http://schemas.openxmlformats.org/officeDocument/2006/relationships/customXml" Target="../customXml/item243.xml"/><Relationship Id="rId291" Type="http://schemas.openxmlformats.org/officeDocument/2006/relationships/customXml" Target="../customXml/item264.xml"/><Relationship Id="rId305" Type="http://schemas.openxmlformats.org/officeDocument/2006/relationships/customXml" Target="../customXml/item278.xml"/><Relationship Id="rId326" Type="http://schemas.openxmlformats.org/officeDocument/2006/relationships/customXml" Target="../customXml/item299.xml"/><Relationship Id="rId347" Type="http://schemas.openxmlformats.org/officeDocument/2006/relationships/customXml" Target="../customXml/item320.xml"/><Relationship Id="rId44" Type="http://schemas.openxmlformats.org/officeDocument/2006/relationships/customXml" Target="../customXml/item17.xml"/><Relationship Id="rId65" Type="http://schemas.openxmlformats.org/officeDocument/2006/relationships/customXml" Target="../customXml/item38.xml"/><Relationship Id="rId86" Type="http://schemas.openxmlformats.org/officeDocument/2006/relationships/customXml" Target="../customXml/item59.xml"/><Relationship Id="rId130" Type="http://schemas.openxmlformats.org/officeDocument/2006/relationships/customXml" Target="../customXml/item103.xml"/><Relationship Id="rId151" Type="http://schemas.openxmlformats.org/officeDocument/2006/relationships/customXml" Target="../customXml/item124.xml"/><Relationship Id="rId172" Type="http://schemas.openxmlformats.org/officeDocument/2006/relationships/customXml" Target="../customXml/item145.xml"/><Relationship Id="rId193" Type="http://schemas.openxmlformats.org/officeDocument/2006/relationships/customXml" Target="../customXml/item166.xml"/><Relationship Id="rId207" Type="http://schemas.openxmlformats.org/officeDocument/2006/relationships/customXml" Target="../customXml/item180.xml"/><Relationship Id="rId228" Type="http://schemas.openxmlformats.org/officeDocument/2006/relationships/customXml" Target="../customXml/item201.xml"/><Relationship Id="rId249" Type="http://schemas.openxmlformats.org/officeDocument/2006/relationships/customXml" Target="../customXml/item222.xml"/><Relationship Id="rId13" Type="http://schemas.openxmlformats.org/officeDocument/2006/relationships/worksheet" Target="worksheets/sheet13.xml"/><Relationship Id="rId109" Type="http://schemas.openxmlformats.org/officeDocument/2006/relationships/customXml" Target="../customXml/item82.xml"/><Relationship Id="rId260" Type="http://schemas.openxmlformats.org/officeDocument/2006/relationships/customXml" Target="../customXml/item233.xml"/><Relationship Id="rId281" Type="http://schemas.openxmlformats.org/officeDocument/2006/relationships/customXml" Target="../customXml/item254.xml"/><Relationship Id="rId316" Type="http://schemas.openxmlformats.org/officeDocument/2006/relationships/customXml" Target="../customXml/item289.xml"/><Relationship Id="rId337" Type="http://schemas.openxmlformats.org/officeDocument/2006/relationships/customXml" Target="../customXml/item310.xml"/><Relationship Id="rId34" Type="http://schemas.openxmlformats.org/officeDocument/2006/relationships/customXml" Target="../customXml/item7.xml"/><Relationship Id="rId55" Type="http://schemas.openxmlformats.org/officeDocument/2006/relationships/customXml" Target="../customXml/item28.xml"/><Relationship Id="rId76" Type="http://schemas.openxmlformats.org/officeDocument/2006/relationships/customXml" Target="../customXml/item49.xml"/><Relationship Id="rId97" Type="http://schemas.openxmlformats.org/officeDocument/2006/relationships/customXml" Target="../customXml/item70.xml"/><Relationship Id="rId120" Type="http://schemas.openxmlformats.org/officeDocument/2006/relationships/customXml" Target="../customXml/item93.xml"/><Relationship Id="rId141" Type="http://schemas.openxmlformats.org/officeDocument/2006/relationships/customXml" Target="../customXml/item114.xml"/><Relationship Id="rId358" Type="http://schemas.openxmlformats.org/officeDocument/2006/relationships/customXml" Target="../customXml/item331.xml"/><Relationship Id="rId7" Type="http://schemas.openxmlformats.org/officeDocument/2006/relationships/worksheet" Target="worksheets/sheet7.xml"/><Relationship Id="rId162" Type="http://schemas.openxmlformats.org/officeDocument/2006/relationships/customXml" Target="../customXml/item135.xml"/><Relationship Id="rId183" Type="http://schemas.openxmlformats.org/officeDocument/2006/relationships/customXml" Target="../customXml/item156.xml"/><Relationship Id="rId218" Type="http://schemas.openxmlformats.org/officeDocument/2006/relationships/customXml" Target="../customXml/item191.xml"/><Relationship Id="rId239" Type="http://schemas.openxmlformats.org/officeDocument/2006/relationships/customXml" Target="../customXml/item212.xml"/><Relationship Id="rId250" Type="http://schemas.openxmlformats.org/officeDocument/2006/relationships/customXml" Target="../customXml/item223.xml"/><Relationship Id="rId271" Type="http://schemas.openxmlformats.org/officeDocument/2006/relationships/customXml" Target="../customXml/item244.xml"/><Relationship Id="rId292" Type="http://schemas.openxmlformats.org/officeDocument/2006/relationships/customXml" Target="../customXml/item265.xml"/><Relationship Id="rId306" Type="http://schemas.openxmlformats.org/officeDocument/2006/relationships/customXml" Target="../customXml/item279.xml"/><Relationship Id="rId24" Type="http://schemas.openxmlformats.org/officeDocument/2006/relationships/styles" Target="styles.xml"/><Relationship Id="rId45" Type="http://schemas.openxmlformats.org/officeDocument/2006/relationships/customXml" Target="../customXml/item18.xml"/><Relationship Id="rId66" Type="http://schemas.openxmlformats.org/officeDocument/2006/relationships/customXml" Target="../customXml/item39.xml"/><Relationship Id="rId87" Type="http://schemas.openxmlformats.org/officeDocument/2006/relationships/customXml" Target="../customXml/item60.xml"/><Relationship Id="rId110" Type="http://schemas.openxmlformats.org/officeDocument/2006/relationships/customXml" Target="../customXml/item83.xml"/><Relationship Id="rId131" Type="http://schemas.openxmlformats.org/officeDocument/2006/relationships/customXml" Target="../customXml/item104.xml"/><Relationship Id="rId327" Type="http://schemas.openxmlformats.org/officeDocument/2006/relationships/customXml" Target="../customXml/item300.xml"/><Relationship Id="rId348" Type="http://schemas.openxmlformats.org/officeDocument/2006/relationships/customXml" Target="../customXml/item321.xml"/><Relationship Id="rId152" Type="http://schemas.openxmlformats.org/officeDocument/2006/relationships/customXml" Target="../customXml/item125.xml"/><Relationship Id="rId173" Type="http://schemas.openxmlformats.org/officeDocument/2006/relationships/customXml" Target="../customXml/item146.xml"/><Relationship Id="rId194" Type="http://schemas.openxmlformats.org/officeDocument/2006/relationships/customXml" Target="../customXml/item167.xml"/><Relationship Id="rId208" Type="http://schemas.openxmlformats.org/officeDocument/2006/relationships/customXml" Target="../customXml/item181.xml"/><Relationship Id="rId229" Type="http://schemas.openxmlformats.org/officeDocument/2006/relationships/customXml" Target="../customXml/item202.xml"/><Relationship Id="rId240" Type="http://schemas.openxmlformats.org/officeDocument/2006/relationships/customXml" Target="../customXml/item213.xml"/><Relationship Id="rId261" Type="http://schemas.openxmlformats.org/officeDocument/2006/relationships/customXml" Target="../customXml/item234.xml"/><Relationship Id="rId14" Type="http://schemas.openxmlformats.org/officeDocument/2006/relationships/worksheet" Target="worksheets/sheet14.xml"/><Relationship Id="rId35" Type="http://schemas.openxmlformats.org/officeDocument/2006/relationships/customXml" Target="../customXml/item8.xml"/><Relationship Id="rId56" Type="http://schemas.openxmlformats.org/officeDocument/2006/relationships/customXml" Target="../customXml/item29.xml"/><Relationship Id="rId77" Type="http://schemas.openxmlformats.org/officeDocument/2006/relationships/customXml" Target="../customXml/item50.xml"/><Relationship Id="rId100" Type="http://schemas.openxmlformats.org/officeDocument/2006/relationships/customXml" Target="../customXml/item73.xml"/><Relationship Id="rId282" Type="http://schemas.openxmlformats.org/officeDocument/2006/relationships/customXml" Target="../customXml/item255.xml"/><Relationship Id="rId317" Type="http://schemas.openxmlformats.org/officeDocument/2006/relationships/customXml" Target="../customXml/item290.xml"/><Relationship Id="rId338" Type="http://schemas.openxmlformats.org/officeDocument/2006/relationships/customXml" Target="../customXml/item311.xml"/><Relationship Id="rId8" Type="http://schemas.openxmlformats.org/officeDocument/2006/relationships/worksheet" Target="worksheets/sheet8.xml"/><Relationship Id="rId98" Type="http://schemas.openxmlformats.org/officeDocument/2006/relationships/customXml" Target="../customXml/item71.xml"/><Relationship Id="rId121" Type="http://schemas.openxmlformats.org/officeDocument/2006/relationships/customXml" Target="../customXml/item94.xml"/><Relationship Id="rId142" Type="http://schemas.openxmlformats.org/officeDocument/2006/relationships/customXml" Target="../customXml/item115.xml"/><Relationship Id="rId163" Type="http://schemas.openxmlformats.org/officeDocument/2006/relationships/customXml" Target="../customXml/item136.xml"/><Relationship Id="rId184" Type="http://schemas.openxmlformats.org/officeDocument/2006/relationships/customXml" Target="../customXml/item157.xml"/><Relationship Id="rId219" Type="http://schemas.openxmlformats.org/officeDocument/2006/relationships/customXml" Target="../customXml/item192.xml"/><Relationship Id="rId230" Type="http://schemas.openxmlformats.org/officeDocument/2006/relationships/customXml" Target="../customXml/item203.xml"/><Relationship Id="rId251" Type="http://schemas.openxmlformats.org/officeDocument/2006/relationships/customXml" Target="../customXml/item224.xml"/><Relationship Id="rId25" Type="http://schemas.openxmlformats.org/officeDocument/2006/relationships/sharedStrings" Target="sharedStrings.xml"/><Relationship Id="rId46" Type="http://schemas.openxmlformats.org/officeDocument/2006/relationships/customXml" Target="../customXml/item19.xml"/><Relationship Id="rId67" Type="http://schemas.openxmlformats.org/officeDocument/2006/relationships/customXml" Target="../customXml/item40.xml"/><Relationship Id="rId272" Type="http://schemas.openxmlformats.org/officeDocument/2006/relationships/customXml" Target="../customXml/item245.xml"/><Relationship Id="rId293" Type="http://schemas.openxmlformats.org/officeDocument/2006/relationships/customXml" Target="../customXml/item266.xml"/><Relationship Id="rId307" Type="http://schemas.openxmlformats.org/officeDocument/2006/relationships/customXml" Target="../customXml/item280.xml"/><Relationship Id="rId328" Type="http://schemas.openxmlformats.org/officeDocument/2006/relationships/customXml" Target="../customXml/item301.xml"/><Relationship Id="rId349" Type="http://schemas.openxmlformats.org/officeDocument/2006/relationships/customXml" Target="../customXml/item322.xml"/><Relationship Id="rId88" Type="http://schemas.openxmlformats.org/officeDocument/2006/relationships/customXml" Target="../customXml/item61.xml"/><Relationship Id="rId111" Type="http://schemas.openxmlformats.org/officeDocument/2006/relationships/customXml" Target="../customXml/item84.xml"/><Relationship Id="rId132" Type="http://schemas.openxmlformats.org/officeDocument/2006/relationships/customXml" Target="../customXml/item105.xml"/><Relationship Id="rId153" Type="http://schemas.openxmlformats.org/officeDocument/2006/relationships/customXml" Target="../customXml/item126.xml"/><Relationship Id="rId174" Type="http://schemas.openxmlformats.org/officeDocument/2006/relationships/customXml" Target="../customXml/item147.xml"/><Relationship Id="rId195" Type="http://schemas.openxmlformats.org/officeDocument/2006/relationships/customXml" Target="../customXml/item168.xml"/><Relationship Id="rId209" Type="http://schemas.openxmlformats.org/officeDocument/2006/relationships/customXml" Target="../customXml/item182.xml"/><Relationship Id="rId190" Type="http://schemas.openxmlformats.org/officeDocument/2006/relationships/customXml" Target="../customXml/item163.xml"/><Relationship Id="rId204" Type="http://schemas.openxmlformats.org/officeDocument/2006/relationships/customXml" Target="../customXml/item177.xml"/><Relationship Id="rId220" Type="http://schemas.openxmlformats.org/officeDocument/2006/relationships/customXml" Target="../customXml/item193.xml"/><Relationship Id="rId225" Type="http://schemas.openxmlformats.org/officeDocument/2006/relationships/customXml" Target="../customXml/item198.xml"/><Relationship Id="rId241" Type="http://schemas.openxmlformats.org/officeDocument/2006/relationships/customXml" Target="../customXml/item214.xml"/><Relationship Id="rId246" Type="http://schemas.openxmlformats.org/officeDocument/2006/relationships/customXml" Target="../customXml/item219.xml"/><Relationship Id="rId267" Type="http://schemas.openxmlformats.org/officeDocument/2006/relationships/customXml" Target="../customXml/item240.xml"/><Relationship Id="rId288" Type="http://schemas.openxmlformats.org/officeDocument/2006/relationships/customXml" Target="../customXml/item261.xml"/><Relationship Id="rId15" Type="http://schemas.openxmlformats.org/officeDocument/2006/relationships/worksheet" Target="worksheets/sheet15.xml"/><Relationship Id="rId36" Type="http://schemas.openxmlformats.org/officeDocument/2006/relationships/customXml" Target="../customXml/item9.xml"/><Relationship Id="rId57" Type="http://schemas.openxmlformats.org/officeDocument/2006/relationships/customXml" Target="../customXml/item30.xml"/><Relationship Id="rId106" Type="http://schemas.openxmlformats.org/officeDocument/2006/relationships/customXml" Target="../customXml/item79.xml"/><Relationship Id="rId127" Type="http://schemas.openxmlformats.org/officeDocument/2006/relationships/customXml" Target="../customXml/item100.xml"/><Relationship Id="rId262" Type="http://schemas.openxmlformats.org/officeDocument/2006/relationships/customXml" Target="../customXml/item235.xml"/><Relationship Id="rId283" Type="http://schemas.openxmlformats.org/officeDocument/2006/relationships/customXml" Target="../customXml/item256.xml"/><Relationship Id="rId313" Type="http://schemas.openxmlformats.org/officeDocument/2006/relationships/customXml" Target="../customXml/item286.xml"/><Relationship Id="rId318" Type="http://schemas.openxmlformats.org/officeDocument/2006/relationships/customXml" Target="../customXml/item291.xml"/><Relationship Id="rId339" Type="http://schemas.openxmlformats.org/officeDocument/2006/relationships/customXml" Target="../customXml/item312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4.xml"/><Relationship Id="rId52" Type="http://schemas.openxmlformats.org/officeDocument/2006/relationships/customXml" Target="../customXml/item25.xml"/><Relationship Id="rId73" Type="http://schemas.openxmlformats.org/officeDocument/2006/relationships/customXml" Target="../customXml/item46.xml"/><Relationship Id="rId78" Type="http://schemas.openxmlformats.org/officeDocument/2006/relationships/customXml" Target="../customXml/item51.xml"/><Relationship Id="rId94" Type="http://schemas.openxmlformats.org/officeDocument/2006/relationships/customXml" Target="../customXml/item67.xml"/><Relationship Id="rId99" Type="http://schemas.openxmlformats.org/officeDocument/2006/relationships/customXml" Target="../customXml/item72.xml"/><Relationship Id="rId101" Type="http://schemas.openxmlformats.org/officeDocument/2006/relationships/customXml" Target="../customXml/item74.xml"/><Relationship Id="rId122" Type="http://schemas.openxmlformats.org/officeDocument/2006/relationships/customXml" Target="../customXml/item95.xml"/><Relationship Id="rId143" Type="http://schemas.openxmlformats.org/officeDocument/2006/relationships/customXml" Target="../customXml/item116.xml"/><Relationship Id="rId148" Type="http://schemas.openxmlformats.org/officeDocument/2006/relationships/customXml" Target="../customXml/item121.xml"/><Relationship Id="rId164" Type="http://schemas.openxmlformats.org/officeDocument/2006/relationships/customXml" Target="../customXml/item137.xml"/><Relationship Id="rId169" Type="http://schemas.openxmlformats.org/officeDocument/2006/relationships/customXml" Target="../customXml/item142.xml"/><Relationship Id="rId185" Type="http://schemas.openxmlformats.org/officeDocument/2006/relationships/customXml" Target="../customXml/item158.xml"/><Relationship Id="rId334" Type="http://schemas.openxmlformats.org/officeDocument/2006/relationships/customXml" Target="../customXml/item307.xml"/><Relationship Id="rId350" Type="http://schemas.openxmlformats.org/officeDocument/2006/relationships/customXml" Target="../customXml/item323.xml"/><Relationship Id="rId355" Type="http://schemas.openxmlformats.org/officeDocument/2006/relationships/customXml" Target="../customXml/item32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customXml" Target="../customXml/item153.xml"/><Relationship Id="rId210" Type="http://schemas.openxmlformats.org/officeDocument/2006/relationships/customXml" Target="../customXml/item183.xml"/><Relationship Id="rId215" Type="http://schemas.openxmlformats.org/officeDocument/2006/relationships/customXml" Target="../customXml/item188.xml"/><Relationship Id="rId236" Type="http://schemas.openxmlformats.org/officeDocument/2006/relationships/customXml" Target="../customXml/item209.xml"/><Relationship Id="rId257" Type="http://schemas.openxmlformats.org/officeDocument/2006/relationships/customXml" Target="../customXml/item230.xml"/><Relationship Id="rId278" Type="http://schemas.openxmlformats.org/officeDocument/2006/relationships/customXml" Target="../customXml/item251.xml"/><Relationship Id="rId26" Type="http://schemas.openxmlformats.org/officeDocument/2006/relationships/sheetMetadata" Target="metadata.xml"/><Relationship Id="rId231" Type="http://schemas.openxmlformats.org/officeDocument/2006/relationships/customXml" Target="../customXml/item204.xml"/><Relationship Id="rId252" Type="http://schemas.openxmlformats.org/officeDocument/2006/relationships/customXml" Target="../customXml/item225.xml"/><Relationship Id="rId273" Type="http://schemas.openxmlformats.org/officeDocument/2006/relationships/customXml" Target="../customXml/item246.xml"/><Relationship Id="rId294" Type="http://schemas.openxmlformats.org/officeDocument/2006/relationships/customXml" Target="../customXml/item267.xml"/><Relationship Id="rId308" Type="http://schemas.openxmlformats.org/officeDocument/2006/relationships/customXml" Target="../customXml/item281.xml"/><Relationship Id="rId329" Type="http://schemas.openxmlformats.org/officeDocument/2006/relationships/customXml" Target="../customXml/item302.xml"/><Relationship Id="rId47" Type="http://schemas.openxmlformats.org/officeDocument/2006/relationships/customXml" Target="../customXml/item20.xml"/><Relationship Id="rId68" Type="http://schemas.openxmlformats.org/officeDocument/2006/relationships/customXml" Target="../customXml/item41.xml"/><Relationship Id="rId89" Type="http://schemas.openxmlformats.org/officeDocument/2006/relationships/customXml" Target="../customXml/item62.xml"/><Relationship Id="rId112" Type="http://schemas.openxmlformats.org/officeDocument/2006/relationships/customXml" Target="../customXml/item85.xml"/><Relationship Id="rId133" Type="http://schemas.openxmlformats.org/officeDocument/2006/relationships/customXml" Target="../customXml/item106.xml"/><Relationship Id="rId154" Type="http://schemas.openxmlformats.org/officeDocument/2006/relationships/customXml" Target="../customXml/item127.xml"/><Relationship Id="rId175" Type="http://schemas.openxmlformats.org/officeDocument/2006/relationships/customXml" Target="../customXml/item148.xml"/><Relationship Id="rId340" Type="http://schemas.openxmlformats.org/officeDocument/2006/relationships/customXml" Target="../customXml/item313.xml"/><Relationship Id="rId196" Type="http://schemas.openxmlformats.org/officeDocument/2006/relationships/customXml" Target="../customXml/item169.xml"/><Relationship Id="rId200" Type="http://schemas.openxmlformats.org/officeDocument/2006/relationships/customXml" Target="../customXml/item173.xml"/><Relationship Id="rId16" Type="http://schemas.openxmlformats.org/officeDocument/2006/relationships/worksheet" Target="worksheets/sheet16.xml"/><Relationship Id="rId221" Type="http://schemas.openxmlformats.org/officeDocument/2006/relationships/customXml" Target="../customXml/item194.xml"/><Relationship Id="rId242" Type="http://schemas.openxmlformats.org/officeDocument/2006/relationships/customXml" Target="../customXml/item215.xml"/><Relationship Id="rId263" Type="http://schemas.openxmlformats.org/officeDocument/2006/relationships/customXml" Target="../customXml/item236.xml"/><Relationship Id="rId284" Type="http://schemas.openxmlformats.org/officeDocument/2006/relationships/customXml" Target="../customXml/item257.xml"/><Relationship Id="rId319" Type="http://schemas.openxmlformats.org/officeDocument/2006/relationships/customXml" Target="../customXml/item292.xml"/><Relationship Id="rId37" Type="http://schemas.openxmlformats.org/officeDocument/2006/relationships/customXml" Target="../customXml/item10.xml"/><Relationship Id="rId58" Type="http://schemas.openxmlformats.org/officeDocument/2006/relationships/customXml" Target="../customXml/item31.xml"/><Relationship Id="rId79" Type="http://schemas.openxmlformats.org/officeDocument/2006/relationships/customXml" Target="../customXml/item52.xml"/><Relationship Id="rId102" Type="http://schemas.openxmlformats.org/officeDocument/2006/relationships/customXml" Target="../customXml/item75.xml"/><Relationship Id="rId123" Type="http://schemas.openxmlformats.org/officeDocument/2006/relationships/customXml" Target="../customXml/item96.xml"/><Relationship Id="rId144" Type="http://schemas.openxmlformats.org/officeDocument/2006/relationships/customXml" Target="../customXml/item117.xml"/><Relationship Id="rId330" Type="http://schemas.openxmlformats.org/officeDocument/2006/relationships/customXml" Target="../customXml/item303.xml"/><Relationship Id="rId90" Type="http://schemas.openxmlformats.org/officeDocument/2006/relationships/customXml" Target="../customXml/item63.xml"/><Relationship Id="rId165" Type="http://schemas.openxmlformats.org/officeDocument/2006/relationships/customXml" Target="../customXml/item138.xml"/><Relationship Id="rId186" Type="http://schemas.openxmlformats.org/officeDocument/2006/relationships/customXml" Target="../customXml/item159.xml"/><Relationship Id="rId351" Type="http://schemas.openxmlformats.org/officeDocument/2006/relationships/customXml" Target="../customXml/item324.xml"/><Relationship Id="rId211" Type="http://schemas.openxmlformats.org/officeDocument/2006/relationships/customXml" Target="../customXml/item184.xml"/><Relationship Id="rId232" Type="http://schemas.openxmlformats.org/officeDocument/2006/relationships/customXml" Target="../customXml/item205.xml"/><Relationship Id="rId253" Type="http://schemas.openxmlformats.org/officeDocument/2006/relationships/customXml" Target="../customXml/item226.xml"/><Relationship Id="rId274" Type="http://schemas.openxmlformats.org/officeDocument/2006/relationships/customXml" Target="../customXml/item247.xml"/><Relationship Id="rId295" Type="http://schemas.openxmlformats.org/officeDocument/2006/relationships/customXml" Target="../customXml/item268.xml"/><Relationship Id="rId309" Type="http://schemas.openxmlformats.org/officeDocument/2006/relationships/customXml" Target="../customXml/item282.xml"/><Relationship Id="rId27" Type="http://schemas.openxmlformats.org/officeDocument/2006/relationships/calcChain" Target="calcChain.xml"/><Relationship Id="rId48" Type="http://schemas.openxmlformats.org/officeDocument/2006/relationships/customXml" Target="../customXml/item21.xml"/><Relationship Id="rId69" Type="http://schemas.openxmlformats.org/officeDocument/2006/relationships/customXml" Target="../customXml/item42.xml"/><Relationship Id="rId113" Type="http://schemas.openxmlformats.org/officeDocument/2006/relationships/customXml" Target="../customXml/item86.xml"/><Relationship Id="rId134" Type="http://schemas.openxmlformats.org/officeDocument/2006/relationships/customXml" Target="../customXml/item107.xml"/><Relationship Id="rId320" Type="http://schemas.openxmlformats.org/officeDocument/2006/relationships/customXml" Target="../customXml/item293.xml"/><Relationship Id="rId80" Type="http://schemas.openxmlformats.org/officeDocument/2006/relationships/customXml" Target="../customXml/item53.xml"/><Relationship Id="rId155" Type="http://schemas.openxmlformats.org/officeDocument/2006/relationships/customXml" Target="../customXml/item128.xml"/><Relationship Id="rId176" Type="http://schemas.openxmlformats.org/officeDocument/2006/relationships/customXml" Target="../customXml/item149.xml"/><Relationship Id="rId197" Type="http://schemas.openxmlformats.org/officeDocument/2006/relationships/customXml" Target="../customXml/item170.xml"/><Relationship Id="rId341" Type="http://schemas.openxmlformats.org/officeDocument/2006/relationships/customXml" Target="../customXml/item314.xml"/><Relationship Id="rId201" Type="http://schemas.openxmlformats.org/officeDocument/2006/relationships/customXml" Target="../customXml/item174.xml"/><Relationship Id="rId222" Type="http://schemas.openxmlformats.org/officeDocument/2006/relationships/customXml" Target="../customXml/item195.xml"/><Relationship Id="rId243" Type="http://schemas.openxmlformats.org/officeDocument/2006/relationships/customXml" Target="../customXml/item216.xml"/><Relationship Id="rId264" Type="http://schemas.openxmlformats.org/officeDocument/2006/relationships/customXml" Target="../customXml/item237.xml"/><Relationship Id="rId285" Type="http://schemas.openxmlformats.org/officeDocument/2006/relationships/customXml" Target="../customXml/item258.xml"/><Relationship Id="rId17" Type="http://schemas.openxmlformats.org/officeDocument/2006/relationships/worksheet" Target="worksheets/sheet17.xml"/><Relationship Id="rId38" Type="http://schemas.openxmlformats.org/officeDocument/2006/relationships/customXml" Target="../customXml/item11.xml"/><Relationship Id="rId59" Type="http://schemas.openxmlformats.org/officeDocument/2006/relationships/customXml" Target="../customXml/item32.xml"/><Relationship Id="rId103" Type="http://schemas.openxmlformats.org/officeDocument/2006/relationships/customXml" Target="../customXml/item76.xml"/><Relationship Id="rId124" Type="http://schemas.openxmlformats.org/officeDocument/2006/relationships/customXml" Target="../customXml/item97.xml"/><Relationship Id="rId310" Type="http://schemas.openxmlformats.org/officeDocument/2006/relationships/customXml" Target="../customXml/item283.xml"/><Relationship Id="rId70" Type="http://schemas.openxmlformats.org/officeDocument/2006/relationships/customXml" Target="../customXml/item43.xml"/><Relationship Id="rId91" Type="http://schemas.openxmlformats.org/officeDocument/2006/relationships/customXml" Target="../customXml/item64.xml"/><Relationship Id="rId145" Type="http://schemas.openxmlformats.org/officeDocument/2006/relationships/customXml" Target="../customXml/item118.xml"/><Relationship Id="rId166" Type="http://schemas.openxmlformats.org/officeDocument/2006/relationships/customXml" Target="../customXml/item139.xml"/><Relationship Id="rId187" Type="http://schemas.openxmlformats.org/officeDocument/2006/relationships/customXml" Target="../customXml/item160.xml"/><Relationship Id="rId331" Type="http://schemas.openxmlformats.org/officeDocument/2006/relationships/customXml" Target="../customXml/item304.xml"/><Relationship Id="rId352" Type="http://schemas.openxmlformats.org/officeDocument/2006/relationships/customXml" Target="../customXml/item325.xml"/><Relationship Id="rId1" Type="http://schemas.openxmlformats.org/officeDocument/2006/relationships/worksheet" Target="worksheets/sheet1.xml"/><Relationship Id="rId212" Type="http://schemas.openxmlformats.org/officeDocument/2006/relationships/customXml" Target="../customXml/item185.xml"/><Relationship Id="rId233" Type="http://schemas.openxmlformats.org/officeDocument/2006/relationships/customXml" Target="../customXml/item206.xml"/><Relationship Id="rId254" Type="http://schemas.openxmlformats.org/officeDocument/2006/relationships/customXml" Target="../customXml/item227.xml"/><Relationship Id="rId28" Type="http://schemas.openxmlformats.org/officeDocument/2006/relationships/customXml" Target="../customXml/item1.xml"/><Relationship Id="rId49" Type="http://schemas.openxmlformats.org/officeDocument/2006/relationships/customXml" Target="../customXml/item22.xml"/><Relationship Id="rId114" Type="http://schemas.openxmlformats.org/officeDocument/2006/relationships/customXml" Target="../customXml/item87.xml"/><Relationship Id="rId275" Type="http://schemas.openxmlformats.org/officeDocument/2006/relationships/customXml" Target="../customXml/item248.xml"/><Relationship Id="rId296" Type="http://schemas.openxmlformats.org/officeDocument/2006/relationships/customXml" Target="../customXml/item269.xml"/><Relationship Id="rId300" Type="http://schemas.openxmlformats.org/officeDocument/2006/relationships/customXml" Target="../customXml/item273.xml"/><Relationship Id="rId60" Type="http://schemas.openxmlformats.org/officeDocument/2006/relationships/customXml" Target="../customXml/item33.xml"/><Relationship Id="rId81" Type="http://schemas.openxmlformats.org/officeDocument/2006/relationships/customXml" Target="../customXml/item54.xml"/><Relationship Id="rId135" Type="http://schemas.openxmlformats.org/officeDocument/2006/relationships/customXml" Target="../customXml/item108.xml"/><Relationship Id="rId156" Type="http://schemas.openxmlformats.org/officeDocument/2006/relationships/customXml" Target="../customXml/item129.xml"/><Relationship Id="rId177" Type="http://schemas.openxmlformats.org/officeDocument/2006/relationships/customXml" Target="../customXml/item150.xml"/><Relationship Id="rId198" Type="http://schemas.openxmlformats.org/officeDocument/2006/relationships/customXml" Target="../customXml/item171.xml"/><Relationship Id="rId321" Type="http://schemas.openxmlformats.org/officeDocument/2006/relationships/customXml" Target="../customXml/item294.xml"/><Relationship Id="rId342" Type="http://schemas.openxmlformats.org/officeDocument/2006/relationships/customXml" Target="../customXml/item315.xml"/><Relationship Id="rId202" Type="http://schemas.openxmlformats.org/officeDocument/2006/relationships/customXml" Target="../customXml/item175.xml"/><Relationship Id="rId223" Type="http://schemas.openxmlformats.org/officeDocument/2006/relationships/customXml" Target="../customXml/item196.xml"/><Relationship Id="rId244" Type="http://schemas.openxmlformats.org/officeDocument/2006/relationships/customXml" Target="../customXml/item217.xml"/><Relationship Id="rId18" Type="http://schemas.openxmlformats.org/officeDocument/2006/relationships/worksheet" Target="worksheets/sheet18.xml"/><Relationship Id="rId39" Type="http://schemas.openxmlformats.org/officeDocument/2006/relationships/customXml" Target="../customXml/item12.xml"/><Relationship Id="rId265" Type="http://schemas.openxmlformats.org/officeDocument/2006/relationships/customXml" Target="../customXml/item238.xml"/><Relationship Id="rId286" Type="http://schemas.openxmlformats.org/officeDocument/2006/relationships/customXml" Target="../customXml/item259.xml"/><Relationship Id="rId50" Type="http://schemas.openxmlformats.org/officeDocument/2006/relationships/customXml" Target="../customXml/item23.xml"/><Relationship Id="rId104" Type="http://schemas.openxmlformats.org/officeDocument/2006/relationships/customXml" Target="../customXml/item77.xml"/><Relationship Id="rId125" Type="http://schemas.openxmlformats.org/officeDocument/2006/relationships/customXml" Target="../customXml/item98.xml"/><Relationship Id="rId146" Type="http://schemas.openxmlformats.org/officeDocument/2006/relationships/customXml" Target="../customXml/item119.xml"/><Relationship Id="rId167" Type="http://schemas.openxmlformats.org/officeDocument/2006/relationships/customXml" Target="../customXml/item140.xml"/><Relationship Id="rId188" Type="http://schemas.openxmlformats.org/officeDocument/2006/relationships/customXml" Target="../customXml/item161.xml"/><Relationship Id="rId311" Type="http://schemas.openxmlformats.org/officeDocument/2006/relationships/customXml" Target="../customXml/item284.xml"/><Relationship Id="rId332" Type="http://schemas.openxmlformats.org/officeDocument/2006/relationships/customXml" Target="../customXml/item305.xml"/><Relationship Id="rId353" Type="http://schemas.openxmlformats.org/officeDocument/2006/relationships/customXml" Target="../customXml/item326.xml"/><Relationship Id="rId71" Type="http://schemas.openxmlformats.org/officeDocument/2006/relationships/customXml" Target="../customXml/item44.xml"/><Relationship Id="rId92" Type="http://schemas.openxmlformats.org/officeDocument/2006/relationships/customXml" Target="../customXml/item65.xml"/><Relationship Id="rId213" Type="http://schemas.openxmlformats.org/officeDocument/2006/relationships/customXml" Target="../customXml/item186.xml"/><Relationship Id="rId234" Type="http://schemas.openxmlformats.org/officeDocument/2006/relationships/customXml" Target="../customXml/item207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2.xml"/><Relationship Id="rId255" Type="http://schemas.openxmlformats.org/officeDocument/2006/relationships/customXml" Target="../customXml/item228.xml"/><Relationship Id="rId276" Type="http://schemas.openxmlformats.org/officeDocument/2006/relationships/customXml" Target="../customXml/item249.xml"/><Relationship Id="rId297" Type="http://schemas.openxmlformats.org/officeDocument/2006/relationships/customXml" Target="../customXml/item270.xml"/><Relationship Id="rId40" Type="http://schemas.openxmlformats.org/officeDocument/2006/relationships/customXml" Target="../customXml/item13.xml"/><Relationship Id="rId115" Type="http://schemas.openxmlformats.org/officeDocument/2006/relationships/customXml" Target="../customXml/item88.xml"/><Relationship Id="rId136" Type="http://schemas.openxmlformats.org/officeDocument/2006/relationships/customXml" Target="../customXml/item109.xml"/><Relationship Id="rId157" Type="http://schemas.openxmlformats.org/officeDocument/2006/relationships/customXml" Target="../customXml/item130.xml"/><Relationship Id="rId178" Type="http://schemas.openxmlformats.org/officeDocument/2006/relationships/customXml" Target="../customXml/item151.xml"/><Relationship Id="rId301" Type="http://schemas.openxmlformats.org/officeDocument/2006/relationships/customXml" Target="../customXml/item274.xml"/><Relationship Id="rId322" Type="http://schemas.openxmlformats.org/officeDocument/2006/relationships/customXml" Target="../customXml/item295.xml"/><Relationship Id="rId343" Type="http://schemas.openxmlformats.org/officeDocument/2006/relationships/customXml" Target="../customXml/item316.xml"/><Relationship Id="rId61" Type="http://schemas.openxmlformats.org/officeDocument/2006/relationships/customXml" Target="../customXml/item34.xml"/><Relationship Id="rId82" Type="http://schemas.openxmlformats.org/officeDocument/2006/relationships/customXml" Target="../customXml/item55.xml"/><Relationship Id="rId199" Type="http://schemas.openxmlformats.org/officeDocument/2006/relationships/customXml" Target="../customXml/item172.xml"/><Relationship Id="rId203" Type="http://schemas.openxmlformats.org/officeDocument/2006/relationships/customXml" Target="../customXml/item176.xml"/><Relationship Id="rId19" Type="http://schemas.openxmlformats.org/officeDocument/2006/relationships/worksheet" Target="worksheets/sheet19.xml"/><Relationship Id="rId224" Type="http://schemas.openxmlformats.org/officeDocument/2006/relationships/customXml" Target="../customXml/item197.xml"/><Relationship Id="rId245" Type="http://schemas.openxmlformats.org/officeDocument/2006/relationships/customXml" Target="../customXml/item218.xml"/><Relationship Id="rId266" Type="http://schemas.openxmlformats.org/officeDocument/2006/relationships/customXml" Target="../customXml/item239.xml"/><Relationship Id="rId287" Type="http://schemas.openxmlformats.org/officeDocument/2006/relationships/customXml" Target="../customXml/item260.xml"/><Relationship Id="rId30" Type="http://schemas.openxmlformats.org/officeDocument/2006/relationships/customXml" Target="../customXml/item3.xml"/><Relationship Id="rId105" Type="http://schemas.openxmlformats.org/officeDocument/2006/relationships/customXml" Target="../customXml/item78.xml"/><Relationship Id="rId126" Type="http://schemas.openxmlformats.org/officeDocument/2006/relationships/customXml" Target="../customXml/item99.xml"/><Relationship Id="rId147" Type="http://schemas.openxmlformats.org/officeDocument/2006/relationships/customXml" Target="../customXml/item120.xml"/><Relationship Id="rId168" Type="http://schemas.openxmlformats.org/officeDocument/2006/relationships/customXml" Target="../customXml/item141.xml"/><Relationship Id="rId312" Type="http://schemas.openxmlformats.org/officeDocument/2006/relationships/customXml" Target="../customXml/item285.xml"/><Relationship Id="rId333" Type="http://schemas.openxmlformats.org/officeDocument/2006/relationships/customXml" Target="../customXml/item306.xml"/><Relationship Id="rId354" Type="http://schemas.openxmlformats.org/officeDocument/2006/relationships/customXml" Target="../customXml/item327.xml"/><Relationship Id="rId51" Type="http://schemas.openxmlformats.org/officeDocument/2006/relationships/customXml" Target="../customXml/item24.xml"/><Relationship Id="rId72" Type="http://schemas.openxmlformats.org/officeDocument/2006/relationships/customXml" Target="../customXml/item45.xml"/><Relationship Id="rId93" Type="http://schemas.openxmlformats.org/officeDocument/2006/relationships/customXml" Target="../customXml/item66.xml"/><Relationship Id="rId189" Type="http://schemas.openxmlformats.org/officeDocument/2006/relationships/customXml" Target="../customXml/item162.xml"/><Relationship Id="rId3" Type="http://schemas.openxmlformats.org/officeDocument/2006/relationships/worksheet" Target="worksheets/sheet3.xml"/><Relationship Id="rId214" Type="http://schemas.openxmlformats.org/officeDocument/2006/relationships/customXml" Target="../customXml/item187.xml"/><Relationship Id="rId235" Type="http://schemas.openxmlformats.org/officeDocument/2006/relationships/customXml" Target="../customXml/item208.xml"/><Relationship Id="rId256" Type="http://schemas.openxmlformats.org/officeDocument/2006/relationships/customXml" Target="../customXml/item229.xml"/><Relationship Id="rId277" Type="http://schemas.openxmlformats.org/officeDocument/2006/relationships/customXml" Target="../customXml/item250.xml"/><Relationship Id="rId298" Type="http://schemas.openxmlformats.org/officeDocument/2006/relationships/customXml" Target="../customXml/item271.xml"/><Relationship Id="rId116" Type="http://schemas.openxmlformats.org/officeDocument/2006/relationships/customXml" Target="../customXml/item89.xml"/><Relationship Id="rId137" Type="http://schemas.openxmlformats.org/officeDocument/2006/relationships/customXml" Target="../customXml/item110.xml"/><Relationship Id="rId158" Type="http://schemas.openxmlformats.org/officeDocument/2006/relationships/customXml" Target="../customXml/item131.xml"/><Relationship Id="rId302" Type="http://schemas.openxmlformats.org/officeDocument/2006/relationships/customXml" Target="../customXml/item275.xml"/><Relationship Id="rId323" Type="http://schemas.openxmlformats.org/officeDocument/2006/relationships/customXml" Target="../customXml/item296.xml"/><Relationship Id="rId344" Type="http://schemas.openxmlformats.org/officeDocument/2006/relationships/customXml" Target="../customXml/item317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14.xml"/><Relationship Id="rId62" Type="http://schemas.openxmlformats.org/officeDocument/2006/relationships/customXml" Target="../customXml/item35.xml"/><Relationship Id="rId83" Type="http://schemas.openxmlformats.org/officeDocument/2006/relationships/customXml" Target="../customXml/item56.xml"/><Relationship Id="rId179" Type="http://schemas.openxmlformats.org/officeDocument/2006/relationships/customXml" Target="../customXml/item15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7FF4766-6507-42E7-B52E-D5B5A8B9D4DC}" name="Fact_Ordre" displayName="Fact_Ordre" ref="A3:M370" totalsRowShown="0">
  <autoFilter ref="A3:M370" xr:uid="{27FF4766-6507-42E7-B52E-D5B5A8B9D4DC}"/>
  <sortState xmlns:xlrd2="http://schemas.microsoft.com/office/spreadsheetml/2017/richdata2" ref="A4:M370">
    <sortCondition descending="1" ref="E3:E370"/>
  </sortState>
  <tableColumns count="13">
    <tableColumn id="5" xr3:uid="{5B9EC761-1C72-423E-A9B3-649E82320CE2}" name="Delt_ID" dataDxfId="142"/>
    <tableColumn id="6" xr3:uid="{32B4E897-C382-4624-BE74-7D0BAC47FC9A}" name="DeltNavn_RD" dataDxfId="141"/>
    <tableColumn id="8" xr3:uid="{226A1544-77A0-4B24-B892-31898AD67491}" name="Klub_ID" dataDxfId="140"/>
    <tableColumn id="7" xr3:uid="{922B17BA-191B-4D20-B036-DF3D70D308F9}" name="DeltKoen_ID" dataDxfId="139"/>
    <tableColumn id="1" xr3:uid="{0785FDFB-7B0E-4A05-B955-7D5E531E4A12}" name="OrdreDatoTid_RD" dataDxfId="138"/>
    <tableColumn id="2" xr3:uid="{9D0F278E-742F-482C-A4DD-6BE7EF36E92F}" name="Billet_ID" dataDxfId="137"/>
    <tableColumn id="3" xr3:uid="{10E94542-FE51-477D-AC06-33E5468B1934}" name="OrdreStatusKat_ID" dataDxfId="136"/>
    <tableColumn id="9" xr3:uid="{9250B6E2-E66F-46D8-9514-8695E833C2D6}" name="DeltRang1_RD" dataDxfId="135"/>
    <tableColumn id="10" xr3:uid="{EFBF07F7-70FD-4602-88FA-CC7B358BBA48}" name="DeltRating2_RD" dataDxfId="134"/>
    <tableColumn id="11" xr3:uid="{68F845E0-05B8-4AEA-BF27-752E66C581E2}" name="DeltRang3_RD" dataDxfId="133"/>
    <tableColumn id="12" xr3:uid="{DD6C6E92-0BE9-443F-80B1-87B409FE5BD2}" name="DeltSlutspil_ID" dataDxfId="132"/>
    <tableColumn id="4" xr3:uid="{72C4BE60-CDF6-4215-A287-1EDE31B22567}" name="DeltPlac_ID" dataDxfId="131"/>
    <tableColumn id="13" xr3:uid="{5DA58D5A-0AA2-48FA-9B0F-19146B4334F5}" name="DeltPraemie_RD" dataDxfId="130"/>
  </tableColumns>
  <tableStyleInfo name="Blå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7BF6995-7374-44AB-AA88-C7AB6BDEB3DB}" name="Dim1_OrdreStatus" displayName="Dim1_OrdreStatus" ref="A3:F7" totalsRowShown="0" headerRowDxfId="129">
  <autoFilter ref="A3:F7" xr:uid="{37BF6995-7374-44AB-AA88-C7AB6BDEB3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2" xr3:uid="{35161E48-7B3C-47CC-8CDE-B7F5B08F877B}" name="OrdreStatusKatNr_RD" dataDxfId="128">
      <calculatedColumnFormula array="1">ROW()-ROW(Dim1_OrdreStatus[#Headers])</calculatedColumnFormula>
    </tableColumn>
    <tableColumn id="1" xr3:uid="{B92F4224-0F2E-42BB-BE2E-68CB4DAE2157}" name="OrdreStatusKat_ID" dataDxfId="127"/>
    <tableColumn id="6" xr3:uid="{A00C0DBF-4AB4-4316-95C8-B6F644A0F84F}" name="OrdreStatusKat_RD" dataDxfId="126"/>
    <tableColumn id="4" xr3:uid="{1BFEAAFB-F21B-4EE3-942E-FFF3B713318D}" name="OrdreStatusKatEmoji_RD" dataDxfId="125"/>
    <tableColumn id="3" xr3:uid="{00CDDEFC-A58F-45EA-9630-529EA1A392D7}" name="OrdreStatusSimpelKat_RD" dataDxfId="124"/>
    <tableColumn id="5" xr3:uid="{F85A2E35-E3F6-4486-A142-8E16327F4F17}" name="OrdreStatusSimpelKatIkon_RD" dataDxfId="123"/>
  </tableColumns>
  <tableStyleInfo name="Gul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0E7AF2-33B5-4690-AF8A-D7404148E3DA}" name="Dim1_Billet" displayName="Dim1_Billet" ref="A3:O30" totalsRowShown="0" headerRowDxfId="122">
  <autoFilter ref="A3:O30" xr:uid="{9CC615D8-7294-42D4-8ABE-3BAB4CFDC3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5" xr3:uid="{3639EAF4-CE8B-429F-BCF8-0153823A5664}" name="BilletNr_RD" dataDxfId="121">
      <calculatedColumnFormula array="1">ROW(Dim1_Billet[#Headers])+ROWS(Dim1_Billet[])-ROW()+1</calculatedColumnFormula>
    </tableColumn>
    <tableColumn id="8" xr3:uid="{77EC5D13-DA0D-41C4-A52D-EEAEAB1AE468}" name="Billet_ID" dataDxfId="120">
      <calculatedColumnFormula array="1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calculatedColumnFormula>
    </tableColumn>
    <tableColumn id="7" xr3:uid="{80959DB8-9583-4231-A4DE-D492DAF3EB17}" name="EventAar_ID" dataDxfId="119"/>
    <tableColumn id="14" xr3:uid="{05B3D736-6C4C-4F3E-A3AC-F4A32CA5AA9F}" name="BilletStartDatoTid_RD" dataDxfId="118"/>
    <tableColumn id="13" xr3:uid="{EA4B5D64-C64B-4E9E-9BAC-0219B5ADD7B7}" name="BilletSlutDatoTid_RD" dataDxfId="117"/>
    <tableColumn id="1" xr3:uid="{A46255B1-FC2C-4932-8D85-0A77EB6CFCCA}" name="BilletKat_ID" dataDxfId="116"/>
    <tableColumn id="11" xr3:uid="{43147B55-F29D-45B8-9EDF-447480CB8F11}" name="BilletDisciplin_ID" dataDxfId="115"/>
    <tableColumn id="12" xr3:uid="{2B9D99E0-118D-48F5-8F86-A7F25717F5E5}" name="BilletRaekke_ID" dataDxfId="114"/>
    <tableColumn id="10" xr3:uid="{EC36012D-DB9E-4EBD-A36C-9C41665EE3C7}" name="BilletSpilFormat_ID" dataDxfId="113"/>
    <tableColumn id="6" xr3:uid="{3CA6228D-B258-44C3-BA4C-AFCABA1DF16A}" name="BilletBeskr_RD" dataDxfId="112"/>
    <tableColumn id="9" xr3:uid="{5A37F70D-69FD-41EB-B872-67DF8E275E72}" name="BilletTilvalg_RD" dataDxfId="111"/>
    <tableColumn id="3" xr3:uid="{78F62B29-27C4-4802-BF16-92EF2F9943CE}" name="BilletPris_RD" dataDxfId="110"/>
    <tableColumn id="4" xr3:uid="{5039F285-C188-412E-B462-DAE3A8DF1984}" name="BilletPrisArr_RD" dataDxfId="109"/>
    <tableColumn id="2" xr3:uid="{CC596BFB-D583-4449-9C5C-C21175493E36}" name="BilletAntalMaks_RD" dataDxfId="108"/>
    <tableColumn id="15" xr3:uid="{9A77EEF3-06F5-4BAF-A159-94815B2ABBD9}" name="BilletPuljeDelt_RD" dataDxfId="107"/>
  </tableColumns>
  <tableStyleInfo name="Gul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6E5911-023E-4148-8825-3C8149B5A980}" name="Dim2_Event" displayName="Dim2_Event" ref="A3:Q15" totalsRowShown="0">
  <autoFilter ref="A3:Q15" xr:uid="{D26E5911-023E-4148-8825-3C8149B5A9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B92245EE-C080-4343-A42A-0B0B2484E30B}" name="EventAarNr_RD" dataDxfId="106">
      <calculatedColumnFormula array="1">ROW(Dim2_Event[#Headers])+ROWS(Dim2_Event[])-ROW()+1</calculatedColumnFormula>
    </tableColumn>
    <tableColumn id="5" xr3:uid="{9BF8DF40-020E-4075-82D8-1E4C2664B176}" name="EventAar_ID" dataDxfId="105">
      <calculatedColumnFormula>IF(OR(ISBLANK(Dim2_Event[[#This Row],[Event_ID]]),ISBLANK(Dim2_Event[[#This Row],[EventAarFristDatoTid_RD]])),"",Dim2_Event[[#This Row],[Event_ID]]&amp;" "&amp;YEAR(Dim2_Event[[#This Row],[EventAarFristDatoTid_RD]]))</calculatedColumnFormula>
    </tableColumn>
    <tableColumn id="19" xr3:uid="{292CE51E-2BB3-4C90-9CBF-B611201ACE57}" name="EventAar_RD" dataDxfId="104"/>
    <tableColumn id="3" xr3:uid="{53289FCF-0978-46B0-8963-C7F2CD15EFAB}" name="Event_ID" dataDxfId="103"/>
    <tableColumn id="4" xr3:uid="{FC080A65-9B4F-4927-9480-4549F5AB9C1A}" name="EventAarFristDatoTid_RD" dataDxfId="102"/>
    <tableColumn id="7" xr3:uid="{130D7C68-5A22-4819-A421-C84300FDC4DB}" name="EventAarAabningDatoTid_RD" dataDxfId="101"/>
    <tableColumn id="11" xr3:uid="{DE867128-A24F-4F11-87D1-495044C0873F}" name="EventAarRatingDato_RD" dataDxfId="100"/>
    <tableColumn id="15" xr3:uid="{2964F950-E0C3-4872-995C-A8605512FF0B}" name="EventAarPraemieSpons_RD" dataDxfId="99"/>
    <tableColumn id="6" xr3:uid="{03030C71-E60A-43C7-A279-70FAF3534BD9}" name="EventAarSted_RD" dataDxfId="98"/>
    <tableColumn id="8" xr3:uid="{180DFADA-5F72-44F0-83D7-1A69B39472F5}" name="EventAarAdr_RD" dataDxfId="97"/>
    <tableColumn id="9" xr3:uid="{54D0CEE6-EE94-4CE2-A36C-D265B56C4142}" name="EventAarPostnr_RD" dataDxfId="96"/>
    <tableColumn id="10" xr3:uid="{AF803E42-D22F-4C1A-A891-5AB78210ABAD}" name="EventAarBy_RD" dataDxfId="95"/>
    <tableColumn id="18" xr3:uid="{60C202A6-D52F-4735-927D-28B1CC6B0C8C}" name="EventAarFarve1_RD" dataDxfId="94"/>
    <tableColumn id="17" xr3:uid="{CA32F570-0D53-425E-8B17-65D0794BCEF3}" name="EventAarFarve2_RD" dataDxfId="93"/>
    <tableColumn id="16" xr3:uid="{6E10FF3C-C076-41D3-AB0F-BA692FEEB80B}" name="EventAarStedURL_RD" dataDxfId="92"/>
    <tableColumn id="13" xr3:uid="{C4E7E57E-485D-44ED-9945-CFFDE1002555}" name="EventAarUUID_RD" dataDxfId="91"/>
    <tableColumn id="12" xr3:uid="{88A6BE16-8ECC-4B6D-9D1C-F506D1C1F057}" name="EventAarToken_RD" dataDxfId="90"/>
  </tableColumns>
  <tableStyleInfo name="Gul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CFC9995-DFFF-4AA2-9421-5122286B1518}" name="Dim3_Event" displayName="Dim3_Event" ref="A3:E4" totalsRowShown="0">
  <autoFilter ref="A3:E4" xr:uid="{6CFC9995-DFFF-4AA2-9421-5122286B151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721EB92-2151-4A76-8689-1342F50B53A8}" name="EventNr_RD" dataDxfId="89">
      <calculatedColumnFormula array="1">ROW()-ROW(Dim3_Event[#Headers])</calculatedColumnFormula>
    </tableColumn>
    <tableColumn id="3" xr3:uid="{6047F41E-7386-4A7D-AEC5-CD30AC0B689B}" name="Event_ID" dataDxfId="88">
      <calculatedColumnFormula>IF(OR(ISBLANK(Dim3_Event[[#This Row],[EventSportsgren_RD]]),ISBLANK(Dim3_Event[[#This Row],[EventTurnering_RD]])),"",Dim3_Event[[#This Row],[EventSportsgren_RD]]&amp;" "&amp;Dim3_Event[[#This Row],[EventTurnering_RD]])</calculatedColumnFormula>
    </tableColumn>
    <tableColumn id="8" xr3:uid="{3E2B32F6-1A55-49F7-A129-684F41EB9702}" name="Event_RD" dataDxfId="87"/>
    <tableColumn id="4" xr3:uid="{68CEAE75-BA55-45AD-8993-D02562B0A698}" name="EventSportsgren_RD" dataDxfId="86"/>
    <tableColumn id="2" xr3:uid="{44160D9F-9740-41A0-A85A-3D3B016E64AA}" name="EventTurnering_RD" dataDxfId="85"/>
  </tableColumns>
  <tableStyleInfo name="Gul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5F8B59-C9BC-491E-9D7D-0EB7273B6236}" name="Dim2_BilletKat" displayName="Dim2_BilletKat" ref="A3:E6" totalsRowShown="0" headerRowDxfId="84">
  <autoFilter ref="A3:E6" xr:uid="{CF5F8B59-C9BC-491E-9D7D-0EB7273B623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2" xr3:uid="{58891D51-0175-4AA6-8154-3DD04AE96268}" name="BilletKatNr_RD" dataDxfId="83">
      <calculatedColumnFormula array="1">ROW()-ROW(Dim2_BilletKat[#Headers])</calculatedColumnFormula>
    </tableColumn>
    <tableColumn id="1" xr3:uid="{3295272D-9479-4367-9BF4-C7CED2CCA3F9}" name="BilletKat_ID" dataDxfId="82"/>
    <tableColumn id="6" xr3:uid="{3904564A-1424-4B70-8FFE-D4B6EF1FC3DC}" name="BilletKat_RD" dataDxfId="81"/>
    <tableColumn id="3" xr3:uid="{FD6BA77A-66C0-40B8-9762-5D68D948E9F4}" name="BilletKatEmoji_RD" dataDxfId="80"/>
    <tableColumn id="4" xr3:uid="{25BF9E6A-4591-4D49-A360-10A2709F9938}" name="BilletKatIkon_RD" dataDxfId="79"/>
  </tableColumns>
  <tableStyleInfo name="Gul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C81D2D1-FF70-4A83-BD6E-53564490D3B3}" name="Disciplin_d2" displayName="Disciplin_d2" ref="A3:C5" totalsRowShown="0" headerRowDxfId="78">
  <autoFilter ref="A3:C5" xr:uid="{4C81D2D1-FF70-4A83-BD6E-53564490D3B3}">
    <filterColumn colId="0" hiddenButton="1"/>
    <filterColumn colId="1" hiddenButton="1"/>
    <filterColumn colId="2" hiddenButton="1"/>
  </autoFilter>
  <tableColumns count="3">
    <tableColumn id="2" xr3:uid="{518EF21A-37EA-41CF-AB06-03D9A1F2A42D}" name="BilletDisciplinNr_RD" dataDxfId="77">
      <calculatedColumnFormula array="1">ROW()-ROW(Disciplin_d2[#Headers])</calculatedColumnFormula>
    </tableColumn>
    <tableColumn id="1" xr3:uid="{B0C49327-2A83-4107-9869-414603DA6704}" name="BilletDisciplin_ID" dataDxfId="76"/>
    <tableColumn id="3" xr3:uid="{4D8070D8-10FB-44A5-B98C-2B3344864274}" name="BilletDisciplin_RD" dataDxfId="75"/>
  </tableColumns>
  <tableStyleInfo name="Gul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BC12676-04ED-445B-BB1E-350D92B383ED}" name="Række_d2" displayName="Række_d2" ref="A3:C5" totalsRowShown="0" headerRowDxfId="74">
  <autoFilter ref="A3:C5" xr:uid="{0BC12676-04ED-445B-BB1E-350D92B383ED}">
    <filterColumn colId="0" hiddenButton="1"/>
    <filterColumn colId="1" hiddenButton="1"/>
    <filterColumn colId="2" hiddenButton="1"/>
  </autoFilter>
  <tableColumns count="3">
    <tableColumn id="2" xr3:uid="{F86B1DD3-7B7F-4CE2-9BB1-B28189509D0A}" name="BilletRaekkeNr_RD" dataDxfId="73">
      <calculatedColumnFormula array="1">ROW()-ROW(Række_d2[#Headers])</calculatedColumnFormula>
    </tableColumn>
    <tableColumn id="1" xr3:uid="{3C64EBAF-83AE-4A2C-A5DB-247C91292292}" name="BilletRaekke_ID" dataDxfId="72"/>
    <tableColumn id="3" xr3:uid="{401A4190-126C-4B81-A9C3-A31DFF2B38BF}" name="BilletRaekke_RD" dataDxfId="71"/>
  </tableColumns>
  <tableStyleInfo name="Gul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CD95148-F88A-4A34-8491-8495C1EEF84E}" name="Spilformat_d2" displayName="Spilformat_d2" ref="A3:E5" totalsRowShown="0" headerRowDxfId="70">
  <autoFilter ref="A3:E5" xr:uid="{DCD95148-F88A-4A34-8491-8495C1EEF84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2" xr3:uid="{04DD2243-0BFB-4133-B7F2-42DE357C8DB7}" name="BilletSpilFormatNr_RD" dataDxfId="69">
      <calculatedColumnFormula array="1">ROW()-ROW(Spilformat_d2[#Headers])</calculatedColumnFormula>
    </tableColumn>
    <tableColumn id="1" xr3:uid="{CF613673-7E4B-4110-9F10-7E726C67463C}" name="BilletSpilFormat_ID" dataDxfId="68"/>
    <tableColumn id="6" xr3:uid="{7C2C885C-BBE3-4E37-848B-A1645947F6A2}" name="BilletSpilFormat_RD" dataDxfId="67"/>
    <tableColumn id="3" xr3:uid="{E7A10C11-B835-489E-AF0B-D73A754341E4}" name="BilletSpilFormatEmoji_RD" dataDxfId="66"/>
    <tableColumn id="4" xr3:uid="{004FDF39-E378-4F8E-BCC8-4A2B929FFF96}" name="BilletSpilFormatIkon_RD" dataDxfId="65"/>
  </tableColumns>
  <tableStyleInfo name="Gul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AF22CFF-291E-47A9-B271-D1981BFF43E7}" name="Klokkeslætsinterval_d1" displayName="Klokkeslætsinterval_d1" ref="A3:D5" totalsRowShown="0" headerRowDxfId="64">
  <autoFilter ref="A3:D5" xr:uid="{BAF22CFF-291E-47A9-B271-D1981BFF43E7}">
    <filterColumn colId="0" hiddenButton="1"/>
    <filterColumn colId="1" hiddenButton="1"/>
    <filterColumn colId="2" hiddenButton="1"/>
    <filterColumn colId="3" hiddenButton="1"/>
  </autoFilter>
  <tableColumns count="4">
    <tableColumn id="1" xr3:uid="{2F09A83C-C3F5-4F29-9A1C-69436E8FD11E}" name="OrdreFoersteTidKatNr_RD" dataDxfId="63">
      <calculatedColumnFormula array="1">ROW()-ROW(Klokkeslætsinterval_d1[#Headers])</calculatedColumnFormula>
    </tableColumn>
    <tableColumn id="3" xr3:uid="{5C5469C6-6BFA-4DCC-9C13-3EEAA5D43F5D}" name="OrdreFoersteTidKatMin_RD" dataDxfId="62"/>
    <tableColumn id="4" xr3:uid="{2C38FFAD-D3D0-46C4-A310-DF0377FF5713}" name="OrdreFoersteTidKatMaks_RD" dataDxfId="61"/>
    <tableColumn id="2" xr3:uid="{D536EEC5-853E-4C30-93E9-2C65B7D94761}" name="OrdreFoersteTidKat_RD" dataDxfId="60"/>
  </tableColumns>
  <tableStyleInfo name="Gul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59D6074-0B40-455B-8E2E-A1958B025F79}" name="Tilmeldingstype_d1" displayName="Tilmeldingstype_d1" ref="A3:E6" totalsRowShown="0" headerRowDxfId="59">
  <autoFilter ref="A3:E6" xr:uid="{2A62C5BA-8EBC-44C1-97F4-DE2F2D3DBC2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B68F869-DC08-4B56-81B2-2A0D419FE4A9}" name="OrdreKatNr_DW" dataDxfId="58">
      <calculatedColumnFormula array="1">ROW()-ROW(Tilmeldingstype_d1[#Headers])</calculatedColumnFormula>
    </tableColumn>
    <tableColumn id="2" xr3:uid="{4A7721A4-14FF-4EAE-A1ED-80A3ADB4AE01}" name="OrdreKat_ID" dataDxfId="57"/>
    <tableColumn id="6" xr3:uid="{57FD6EAE-BB3B-4F16-88F1-47BD7876CD41}" name="OrdreKat_DW" dataDxfId="56"/>
    <tableColumn id="3" xr3:uid="{C41E8EB9-89C1-4D60-B273-2561D93865E6}" name="OrdreKatEmoji_DW" dataDxfId="55"/>
    <tableColumn id="4" xr3:uid="{FAAA8B59-0E9F-4B79-B629-7632E11FB180}" name="OrdreKatIkon_DW" dataDxfId="54"/>
  </tableColumns>
  <tableStyleInfo name="Gul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2AF88B-67BF-4F1F-9C05-B7BD22339C86}" name="Bordtennisklub_d1" displayName="Bordtennisklub_d1" ref="A3:G44" totalsRowShown="0" headerRowDxfId="53">
  <autoFilter ref="A3:G44" xr:uid="{7C3FDDD7-889D-436A-BDDA-16D93CB955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4:F41">
    <sortCondition ref="B13:B41"/>
  </sortState>
  <tableColumns count="7">
    <tableColumn id="5" xr3:uid="{967D2CDF-A959-4453-BC63-63C3587A1983}" name="KlubNr_RD" dataDxfId="52">
      <calculatedColumnFormula array="1">ROW()-ROW(Bordtennisklub_d1[#Headers])</calculatedColumnFormula>
    </tableColumn>
    <tableColumn id="2" xr3:uid="{50E593F2-22CF-45E5-A73B-5E400D6C181A}" name="Klub_ID" dataDxfId="51"/>
    <tableColumn id="6" xr3:uid="{8F69F71E-7E7A-4B3E-8EDA-876B14EF755B}" name="Klub_RD" dataDxfId="50"/>
    <tableColumn id="3" xr3:uid="{C3A88C16-4DEF-4A50-AA81-AA3E05721FA3}" name="KlubPostnr_RD" dataDxfId="49"/>
    <tableColumn id="4" xr3:uid="{C30DCD09-6AE0-409D-9CCB-9CC7B517D3ED}" name="KlubBy_RD" dataDxfId="48"/>
    <tableColumn id="1" xr3:uid="{5CE06508-50BE-403B-9AC8-FE5884266FFC}" name="KlubMail_RD" dataDxfId="47"/>
    <tableColumn id="7" xr3:uid="{ACB1EC69-9E5C-4199-95D9-BCA1D07A0007}" name="KlubRegion_ID" dataDxfId="46"/>
  </tableColumns>
  <tableStyleInfo name="Grøn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EE76BE-3346-4056-B513-43D077206456}" name="Landsdel_d2" displayName="Landsdel_d2" ref="A3:F10" totalsRowShown="0" headerRowDxfId="45">
  <autoFilter ref="A3:F10" xr:uid="{B68E62EE-137A-4B20-8A53-DEFC109325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5" xr3:uid="{34BDFBF2-8804-45A0-BDCD-F65F8D5FA134}" name="KlubLandsdelNr_RD" dataDxfId="44">
      <calculatedColumnFormula array="1">ROW()-ROW(Landsdel_d2[#Headers])</calculatedColumnFormula>
    </tableColumn>
    <tableColumn id="2" xr3:uid="{F4B16FD0-5013-488D-B7AB-9DBB67A568ED}" name="KlubLandsdelPostnrMin_RD" dataDxfId="43"/>
    <tableColumn id="3" xr3:uid="{B0A20F65-83F3-4960-A190-BBA0DAE30DB1}" name="KlubLandsdelPostnrMaks_RD" dataDxfId="42"/>
    <tableColumn id="1" xr3:uid="{E155FC1A-EE5B-4D0B-A5CB-4C02EAAAD9A9}" name="KlubLandsdel_RD" dataDxfId="41"/>
    <tableColumn id="6" xr3:uid="{EC7E77EA-A144-4CBE-ADF8-AAEB622C1F45}" name="KlubEmoji_RD" dataDxfId="40"/>
    <tableColumn id="4" xr3:uid="{D2E44824-A786-4BAE-ACFC-AFACE471D764}" name="KlubKatIkon_RD" dataDxfId="39"/>
  </tableColumns>
  <tableStyleInfo name="Grøn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544A231-00C0-4656-977D-CC4B4992C57C}" name="Region_d2" displayName="Region_d2" ref="A3:C9" totalsRowShown="0" headerRowDxfId="38">
  <autoFilter ref="A3:C9" xr:uid="{D544A231-00C0-4656-977D-CC4B4992C57C}">
    <filterColumn colId="0" hiddenButton="1"/>
    <filterColumn colId="1" hiddenButton="1"/>
    <filterColumn colId="2" hiddenButton="1"/>
  </autoFilter>
  <tableColumns count="3">
    <tableColumn id="5" xr3:uid="{8DB5453F-020F-4762-A339-EC3B4C0F48DF}" name="KlubRegionNr_RD" dataDxfId="37">
      <calculatedColumnFormula array="1">ROW()-ROW(Region_d2[#Headers])</calculatedColumnFormula>
    </tableColumn>
    <tableColumn id="1" xr3:uid="{5A21716B-0C56-4307-8C46-64013A2C28FE}" name="KlubRegion_ID" dataDxfId="36"/>
    <tableColumn id="2" xr3:uid="{DBB2B045-33BA-4C20-BDB8-323E10C0017D}" name="KlubRegion_RD" dataDxfId="35"/>
  </tableColumns>
  <tableStyleInfo name="Grøn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BEBE96-96BB-47A7-8EC9-93E6A5B0CF96}" name="Køn_d1" displayName="Køn_d1" ref="A3:E5" totalsRowShown="0" headerRowDxfId="34">
  <autoFilter ref="A3:E5" xr:uid="{075C7E5A-7140-43A2-9A6C-310AA6FBD33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5" xr3:uid="{532EF60A-C37B-41A0-BEFF-EAB992579E1D}" name="DeltKoenNr_RD" dataDxfId="33">
      <calculatedColumnFormula array="1">ROW()-ROW(Køn_d1[#Headers])</calculatedColumnFormula>
    </tableColumn>
    <tableColumn id="1" xr3:uid="{10C3CADD-1542-4FFA-B623-265322898E70}" name="DeltKoen_ID" dataDxfId="32"/>
    <tableColumn id="4" xr3:uid="{E739667D-7972-4CEB-9109-DFA306E9AC6D}" name="DeltKoen_RD" dataDxfId="31"/>
    <tableColumn id="2" xr3:uid="{1BA11841-4855-4C86-AAC0-E976BA1B74DC}" name="DeltKoenEmoji_RD" dataDxfId="30"/>
    <tableColumn id="3" xr3:uid="{27A98B2F-B464-4FEE-B106-255881A671AB}" name="DeltKoenIkon_RD" dataDxfId="29"/>
  </tableColumns>
  <tableStyleInfo name="Grøn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95FB76F-4276-4A31-8BAB-DCE6D86319C1}" name="Slutspil_d1" displayName="Slutspil_d1" ref="A3:C5" totalsRowShown="0" headerRowDxfId="28">
  <autoFilter ref="A3:C5" xr:uid="{A95FB76F-4276-4A31-8BAB-DCE6D86319C1}">
    <filterColumn colId="0" hiddenButton="1"/>
    <filterColumn colId="1" hiddenButton="1"/>
    <filterColumn colId="2" hiddenButton="1"/>
  </autoFilter>
  <tableColumns count="3">
    <tableColumn id="1" xr3:uid="{50E07318-57F8-40DF-9D8A-F79D65B9CC2A}" name="DeltSlutspilNr_RD" dataDxfId="27">
      <calculatedColumnFormula array="1">ROW()-ROW(Slutspil_d1[#Headers])</calculatedColumnFormula>
    </tableColumn>
    <tableColumn id="2" xr3:uid="{63D4D435-1B02-441E-A2D5-7673D6044C5D}" name="DeltSlutspil_ID" dataDxfId="26"/>
    <tableColumn id="3" xr3:uid="{0180E701-5C13-4234-B093-3BDFFE37ED35}" name="DeltSlutspil_RD" dataDxfId="25"/>
  </tableColumns>
  <tableStyleInfo name="Grøn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9951AC2-B184-4437-8147-22931980127B}" name="Placering_d1" displayName="Placering_d1" ref="A3:C11" totalsRowShown="0" headerRowDxfId="24">
  <autoFilter ref="A3:C11" xr:uid="{29951AC2-B184-4437-8147-22931980127B}">
    <filterColumn colId="0" hiddenButton="1"/>
    <filterColumn colId="1" hiddenButton="1"/>
    <filterColumn colId="2" hiddenButton="1"/>
  </autoFilter>
  <tableColumns count="3">
    <tableColumn id="1" xr3:uid="{53A04FC5-9541-407C-A2F4-26B5D3150846}" name="DeltPlacNr_RD" dataDxfId="23">
      <calculatedColumnFormula array="1">ROW()-ROW(Placering_d1[#Headers])</calculatedColumnFormula>
    </tableColumn>
    <tableColumn id="2" xr3:uid="{DEF3CD1E-49CC-477B-B78E-CFA7CADD922B}" name="DeltPlac_ID" dataDxfId="22"/>
    <tableColumn id="3" xr3:uid="{A4B4723A-DB8C-4785-9263-A6D598AD4307}" name="DeltPlac_RD" dataDxfId="21"/>
  </tableColumns>
  <tableStyleInfo name="Grøn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E571D10-87DE-403E-8192-C83F50521E6A}" name="Ratinggruppe_d1" displayName="Ratinggruppe_d1" ref="A3:D5" totalsRowShown="0" headerRowDxfId="20">
  <autoFilter ref="A3:D5" xr:uid="{CE571D10-87DE-403E-8192-C83F50521E6A}">
    <filterColumn colId="0" hiddenButton="1"/>
    <filterColumn colId="1" hiddenButton="1"/>
    <filterColumn colId="2" hiddenButton="1"/>
    <filterColumn colId="3" hiddenButton="1"/>
  </autoFilter>
  <tableColumns count="4">
    <tableColumn id="5" xr3:uid="{F4E33A3B-7D80-45A5-9ADE-054098F8BCA4}" name="DeltRatingKatNr_RD" dataDxfId="19">
      <calculatedColumnFormula array="1">ROW()-ROW(Ratinggruppe_d1[#Headers])</calculatedColumnFormula>
    </tableColumn>
    <tableColumn id="2" xr3:uid="{3A80BCB8-F2A2-40FF-A9EE-2124FC77D21F}" name="DeltRatingKatMin_RD" dataDxfId="18"/>
    <tableColumn id="3" xr3:uid="{506633AC-D9DE-4954-83D3-0D04AD662EF6}" name="DeltRatingKatMaks_RD" dataDxfId="17"/>
    <tableColumn id="1" xr3:uid="{9E2B2E22-F39F-49ED-9FA5-4BD7F91EE559}" name="DeltRatingKat_RD" dataDxfId="16"/>
  </tableColumns>
  <tableStyleInfo name="Grøn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B358AB-871E-47A0-A961-513A88D533A0}" name="Aldersgruppe_d1" displayName="Aldersgruppe_d1" ref="A3:D6" totalsRowShown="0" headerRowDxfId="15">
  <autoFilter ref="A3:D6" xr:uid="{EA991B26-A361-4ABC-92C0-092274ADD64C}">
    <filterColumn colId="0" hiddenButton="1"/>
    <filterColumn colId="1" hiddenButton="1"/>
    <filterColumn colId="2" hiddenButton="1"/>
    <filterColumn colId="3" hiddenButton="1"/>
  </autoFilter>
  <tableColumns count="4">
    <tableColumn id="5" xr3:uid="{CC499480-BB44-4B56-B449-D3392B090B60}" name="DeltAlderKatNr_RD" dataDxfId="14">
      <calculatedColumnFormula array="1">ROW()-ROW(Aldersgruppe_d1[#Headers])</calculatedColumnFormula>
    </tableColumn>
    <tableColumn id="2" xr3:uid="{E38AFD0F-CC15-427E-A5B0-13F1D0ED794F}" name="DeltAlderKatMin_RD" dataDxfId="13"/>
    <tableColumn id="3" xr3:uid="{B2AE6E19-50E0-4D00-A62D-FA27CF55F02F}" name="DeltAlderKatMaks_RD" dataDxfId="12"/>
    <tableColumn id="1" xr3:uid="{3E3A731F-0E41-467F-A4E9-B0CEE6021E03}" name="DeltAlderKat_RD" dataDxfId="11"/>
  </tableColumns>
  <tableStyleInfo name="Grøn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8B9AB83-57BD-484C-86E6-6B9F0A427FBF}" name="Spillertype_d1" displayName="Spillertype_d1" ref="A3:D5" totalsRowShown="0" headerRowDxfId="10">
  <autoFilter ref="A3:D5" xr:uid="{D8B9AB83-57BD-484C-86E6-6B9F0A427FBF}">
    <filterColumn colId="0" hiddenButton="1"/>
    <filterColumn colId="1" hiddenButton="1"/>
    <filterColumn colId="2" hiddenButton="1"/>
    <filterColumn colId="3" hiddenButton="1"/>
  </autoFilter>
  <tableColumns count="4">
    <tableColumn id="1" xr3:uid="{3B6F0A18-161F-4938-A6D5-0B6E656E06DF}" name="DeltKatNr_RD" dataDxfId="9">
      <calculatedColumnFormula array="1">ROW()-ROW(Spillertype_d1[#Headers])</calculatedColumnFormula>
    </tableColumn>
    <tableColumn id="4" xr3:uid="{4440E5B8-C7A2-4E3C-90E2-954701143D5C}" name="DeltKatMin_ID" dataDxfId="8"/>
    <tableColumn id="3" xr3:uid="{1E5A9FA4-9B8F-4460-8F81-970D6F0E9D98}" name="DeltKatMaks_ID" dataDxfId="7"/>
    <tableColumn id="2" xr3:uid="{DA956683-D17A-4F61-A300-DE8679F5917D}" name="DeltKat_RD" dataDxfId="6"/>
  </tableColumns>
  <tableStyleInfo name="Grøn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FB34333-0368-4825-B1EF-9E8D45F644FE}" name="Gentilmeldinger_d1" displayName="Gentilmeldinger_d1" ref="A3:E6" totalsRowShown="0" headerRowDxfId="5">
  <autoFilter ref="A3:E6" xr:uid="{CFB34333-0368-4825-B1EF-9E8D45F644F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2" xr3:uid="{D9F5604F-C0DD-4906-9B77-F339FFA9A114}" name="DeltGenKatNr_DW" dataDxfId="4">
      <calculatedColumnFormula array="1">ROW()-ROW(Gentilmeldinger_d1[#Headers])</calculatedColumnFormula>
    </tableColumn>
    <tableColumn id="1" xr3:uid="{85ECBF69-CF84-44CE-AC8A-6D65B4AB9F23}" name="DeltGenKat_ID" dataDxfId="3"/>
    <tableColumn id="6" xr3:uid="{3D6CB129-16AE-4FF2-8781-37FDCFFC3171}" name="DeltGenKat_DW" dataDxfId="2"/>
    <tableColumn id="3" xr3:uid="{F4CEC2F4-6796-4A92-B47A-7EF8CE1D391C}" name="DeltGenKatEmoji_DW" dataDxfId="1"/>
    <tableColumn id="4" xr3:uid="{65E6045B-EB3A-44CE-BFBC-DFEF44545E9F}" name="DeltGenKatIkon_DW" dataDxfId="0"/>
  </tableColumns>
  <tableStyleInfo name="Gul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google.dk/maps/place/Sportscenter+Herning/@56.157455,8.9619456,17z/data=!3m1!4b1!4m6!3m5!1s0x464bb95cde96d94f:0xf804b36833bfdac3!8m2!3d56.157452!4d8.9645205!16s%2Fg%2F122n5pr2?entry=ttu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christian@fredensborgjakobsen.dk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C004-7A29-48E0-8CDE-C1E79E4362A2}">
  <sheetPr codeName="Ark1">
    <tabColor theme="4"/>
    <pageSetUpPr fitToPage="1"/>
  </sheetPr>
  <dimension ref="A1:M370"/>
  <sheetViews>
    <sheetView showGridLines="0" tabSelected="1" zoomScaleNormal="100" workbookViewId="0">
      <pane ySplit="3" topLeftCell="A4" activePane="bottomLeft" state="frozen"/>
      <selection pane="bottomLeft" sqref="A1:M1"/>
    </sheetView>
  </sheetViews>
  <sheetFormatPr defaultColWidth="16.33203125" defaultRowHeight="14.4" x14ac:dyDescent="0.3"/>
  <cols>
    <col min="1" max="1" width="13.33203125" bestFit="1" customWidth="1"/>
    <col min="2" max="2" width="26.44140625" bestFit="1" customWidth="1"/>
    <col min="3" max="3" width="17.33203125" bestFit="1" customWidth="1"/>
    <col min="4" max="4" width="13.6640625" bestFit="1" customWidth="1"/>
    <col min="5" max="5" width="18.109375" bestFit="1" customWidth="1"/>
    <col min="6" max="6" width="55.5546875" bestFit="1" customWidth="1"/>
    <col min="7" max="7" width="18.88671875" bestFit="1" customWidth="1"/>
    <col min="8" max="8" width="15.109375" bestFit="1" customWidth="1"/>
    <col min="9" max="9" width="16.33203125" bestFit="1" customWidth="1"/>
    <col min="10" max="10" width="15.109375" bestFit="1" customWidth="1"/>
    <col min="11" max="11" width="17.6640625" bestFit="1" customWidth="1"/>
    <col min="12" max="12" width="15" bestFit="1" customWidth="1"/>
    <col min="13" max="13" width="16.88671875" bestFit="1" customWidth="1"/>
  </cols>
  <sheetData>
    <row r="1" spans="1:13" x14ac:dyDescent="0.3">
      <c r="A1" s="25" t="str" cm="1">
        <f t="array" aca="1" ref="A1" ca="1">_xlfn.TEXTAFTER(CELL("filnavn",A1),"]")</f>
        <v>✍️ Fact_Ordre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3">
      <c r="A2" s="26" t="str" cm="1">
        <f t="array" ref="A2">TEXT(COLUMNS(Fact_Ordre[]),"#.##0")&amp;" · "&amp;TEXT(ROWS(Fact_Ordre[]),"#.##0")&amp;" = "&amp;TEXT(SUMPRODUCT(COLUMNS(Fact_Ordre[]),ROWS(Fact_Ordre[])),"#.##0")
&amp;" ("&amp;IF(AND(
COUNTIFS(Fact_Ordre[Delt_ID],Fact_Ordre[Delt_ID],Fact_Ordre[Billet_ID],Fact_Ordre[Billet_ID])&lt;2,
EXACT(COUNTA(_xlfn.UNIQUE(Fact_Ordre[Delt_ID]&amp;INDEX(Dim1_Billet[EventAar_ID],MATCH(Fact_Ordre[Billet_ID],Dim1_Billet[Billet_ID],0)),FALSE,FALSE)),COUNTA(_xlfn.UNIQUE(Fact_Ordre[Delt_ID]&amp;Fact_Ordre[DeltNavn_RD]&amp;Fact_Ordre[Klub_ID]&amp;Fact_Ordre[DeltKoen_ID]&amp;INDEX(Dim1_Billet[EventAar_ID],MATCH(Fact_Ordre[Billet_ID],Dim1_Billet[Billet_ID],0)),FALSE,FALSE)))),
"✓","X")&amp;")"</f>
        <v>13 · 367 = 4.771 (✓)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x14ac:dyDescent="0.3">
      <c r="A3" t="s">
        <v>726</v>
      </c>
      <c r="B3" t="s">
        <v>595</v>
      </c>
      <c r="C3" t="s">
        <v>683</v>
      </c>
      <c r="D3" t="s">
        <v>684</v>
      </c>
      <c r="E3" s="19" t="s">
        <v>596</v>
      </c>
      <c r="F3" s="1" t="s">
        <v>685</v>
      </c>
      <c r="G3" s="1" t="s">
        <v>686</v>
      </c>
      <c r="H3" t="s">
        <v>597</v>
      </c>
      <c r="I3" t="s">
        <v>598</v>
      </c>
      <c r="J3" t="s">
        <v>599</v>
      </c>
      <c r="K3" s="3" t="s">
        <v>687</v>
      </c>
      <c r="L3" s="3" t="s">
        <v>688</v>
      </c>
      <c r="M3" t="s">
        <v>600</v>
      </c>
    </row>
    <row r="4" spans="1:13" x14ac:dyDescent="0.3">
      <c r="A4" s="1" t="s">
        <v>581</v>
      </c>
      <c r="B4" s="1" t="s">
        <v>582</v>
      </c>
      <c r="C4" s="1" t="s">
        <v>53</v>
      </c>
      <c r="D4" s="1" t="s">
        <v>456</v>
      </c>
      <c r="E4" s="19">
        <v>45891.500023148146</v>
      </c>
      <c r="F4" s="1" t="s">
        <v>665</v>
      </c>
      <c r="G4" s="1" t="s">
        <v>480</v>
      </c>
      <c r="H4" s="4"/>
      <c r="I4" s="4">
        <v>1380</v>
      </c>
      <c r="J4" s="4"/>
      <c r="K4" s="5"/>
      <c r="L4" s="5"/>
      <c r="M4" s="11"/>
    </row>
    <row r="5" spans="1:13" x14ac:dyDescent="0.3">
      <c r="A5" s="1" t="s">
        <v>674</v>
      </c>
      <c r="B5" s="1" t="s">
        <v>675</v>
      </c>
      <c r="C5" s="1" t="s">
        <v>676</v>
      </c>
      <c r="D5" s="1" t="s">
        <v>456</v>
      </c>
      <c r="E5" s="19">
        <v>45891.500011574077</v>
      </c>
      <c r="F5" s="1" t="s">
        <v>665</v>
      </c>
      <c r="G5" s="1" t="s">
        <v>480</v>
      </c>
      <c r="H5" s="4"/>
      <c r="I5" s="4">
        <v>2416</v>
      </c>
      <c r="J5" s="4"/>
      <c r="K5" s="5"/>
      <c r="L5" s="5"/>
      <c r="M5" s="11"/>
    </row>
    <row r="6" spans="1:13" x14ac:dyDescent="0.3">
      <c r="A6" s="1" t="s">
        <v>200</v>
      </c>
      <c r="B6" s="1" t="s">
        <v>201</v>
      </c>
      <c r="C6" s="1" t="s">
        <v>226</v>
      </c>
      <c r="D6" s="1" t="s">
        <v>456</v>
      </c>
      <c r="E6" s="19">
        <v>45658.001633043983</v>
      </c>
      <c r="F6" s="1" t="s">
        <v>665</v>
      </c>
      <c r="G6" s="1" t="s">
        <v>480</v>
      </c>
      <c r="H6" s="4"/>
      <c r="I6" s="4">
        <v>1784</v>
      </c>
      <c r="J6" s="4"/>
      <c r="K6" s="5"/>
      <c r="L6" s="5"/>
      <c r="M6" s="11"/>
    </row>
    <row r="7" spans="1:13" x14ac:dyDescent="0.3">
      <c r="A7" s="1" t="s">
        <v>672</v>
      </c>
      <c r="B7" s="1" t="s">
        <v>673</v>
      </c>
      <c r="C7" s="1" t="s">
        <v>5</v>
      </c>
      <c r="D7" s="1" t="s">
        <v>456</v>
      </c>
      <c r="E7" s="19">
        <v>45658.001621412041</v>
      </c>
      <c r="F7" s="1" t="s">
        <v>665</v>
      </c>
      <c r="G7" s="1" t="s">
        <v>480</v>
      </c>
      <c r="H7" s="4"/>
      <c r="I7" s="4"/>
      <c r="J7" s="4"/>
      <c r="K7" s="5"/>
      <c r="L7" s="5"/>
      <c r="M7" s="11"/>
    </row>
    <row r="8" spans="1:13" x14ac:dyDescent="0.3">
      <c r="A8" s="1" t="s">
        <v>81</v>
      </c>
      <c r="B8" s="1" t="s">
        <v>50</v>
      </c>
      <c r="C8" s="1" t="s">
        <v>680</v>
      </c>
      <c r="D8" s="1" t="s">
        <v>456</v>
      </c>
      <c r="E8" s="19">
        <v>45658.001609780091</v>
      </c>
      <c r="F8" s="1" t="s">
        <v>665</v>
      </c>
      <c r="G8" s="1" t="s">
        <v>480</v>
      </c>
      <c r="H8" s="4"/>
      <c r="I8" s="4">
        <v>2033</v>
      </c>
      <c r="J8" s="4"/>
      <c r="K8" s="5"/>
      <c r="L8" s="5"/>
      <c r="M8" s="11"/>
    </row>
    <row r="9" spans="1:13" x14ac:dyDescent="0.3">
      <c r="A9" s="1" t="s">
        <v>66</v>
      </c>
      <c r="B9" s="1" t="s">
        <v>54</v>
      </c>
      <c r="C9" s="1" t="s">
        <v>236</v>
      </c>
      <c r="D9" s="1" t="s">
        <v>456</v>
      </c>
      <c r="E9" s="19">
        <v>45658.001598148148</v>
      </c>
      <c r="F9" s="1" t="s">
        <v>665</v>
      </c>
      <c r="G9" s="1" t="s">
        <v>480</v>
      </c>
      <c r="H9" s="4"/>
      <c r="I9" s="4">
        <v>2308</v>
      </c>
      <c r="J9" s="4"/>
      <c r="K9" s="5"/>
      <c r="L9" s="5"/>
      <c r="M9" s="11"/>
    </row>
    <row r="10" spans="1:13" x14ac:dyDescent="0.3">
      <c r="A10" s="1" t="s">
        <v>344</v>
      </c>
      <c r="B10" s="1" t="s">
        <v>345</v>
      </c>
      <c r="C10" s="1" t="s">
        <v>2</v>
      </c>
      <c r="D10" s="1" t="s">
        <v>456</v>
      </c>
      <c r="E10" s="19">
        <v>45658.001586516206</v>
      </c>
      <c r="F10" s="1" t="s">
        <v>665</v>
      </c>
      <c r="G10" s="1" t="s">
        <v>480</v>
      </c>
      <c r="H10" s="4"/>
      <c r="I10" s="4">
        <v>1415</v>
      </c>
      <c r="J10" s="4"/>
      <c r="K10" s="5"/>
      <c r="L10" s="5"/>
      <c r="M10" s="11"/>
    </row>
    <row r="11" spans="1:13" x14ac:dyDescent="0.3">
      <c r="A11" s="1" t="s">
        <v>73</v>
      </c>
      <c r="B11" s="1" t="s">
        <v>19</v>
      </c>
      <c r="C11" s="1" t="s">
        <v>3</v>
      </c>
      <c r="D11" s="1" t="s">
        <v>456</v>
      </c>
      <c r="E11" s="19">
        <v>45658.001574884256</v>
      </c>
      <c r="F11" s="1" t="s">
        <v>665</v>
      </c>
      <c r="G11" s="1" t="s">
        <v>480</v>
      </c>
      <c r="H11" s="4"/>
      <c r="I11" s="4">
        <v>1585</v>
      </c>
      <c r="J11" s="4"/>
      <c r="K11" s="5"/>
      <c r="L11" s="5"/>
      <c r="M11" s="11"/>
    </row>
    <row r="12" spans="1:13" x14ac:dyDescent="0.3">
      <c r="A12" s="1" t="s">
        <v>372</v>
      </c>
      <c r="B12" s="1" t="s">
        <v>373</v>
      </c>
      <c r="C12" s="1" t="s">
        <v>5</v>
      </c>
      <c r="D12" s="1" t="s">
        <v>458</v>
      </c>
      <c r="E12" s="19">
        <v>45658.001563252314</v>
      </c>
      <c r="F12" s="1" t="s">
        <v>665</v>
      </c>
      <c r="G12" s="1" t="s">
        <v>480</v>
      </c>
      <c r="H12" s="4"/>
      <c r="I12" s="4">
        <v>1909</v>
      </c>
      <c r="J12" s="4"/>
      <c r="K12" s="5"/>
      <c r="L12" s="5"/>
      <c r="M12" s="11"/>
    </row>
    <row r="13" spans="1:13" x14ac:dyDescent="0.3">
      <c r="A13" s="1" t="s">
        <v>245</v>
      </c>
      <c r="B13" s="1" t="s">
        <v>246</v>
      </c>
      <c r="C13" s="1" t="s">
        <v>5</v>
      </c>
      <c r="D13" s="1" t="s">
        <v>456</v>
      </c>
      <c r="E13" s="19">
        <v>45658.001551620371</v>
      </c>
      <c r="F13" s="1" t="s">
        <v>665</v>
      </c>
      <c r="G13" s="1" t="s">
        <v>480</v>
      </c>
      <c r="H13" s="4">
        <v>4</v>
      </c>
      <c r="I13" s="4">
        <v>2199</v>
      </c>
      <c r="J13" s="4"/>
      <c r="K13" s="5"/>
      <c r="L13" s="5"/>
      <c r="M13" s="11"/>
    </row>
    <row r="14" spans="1:13" x14ac:dyDescent="0.3">
      <c r="A14" s="1" t="s">
        <v>262</v>
      </c>
      <c r="B14" s="1" t="s">
        <v>263</v>
      </c>
      <c r="C14" s="1" t="s">
        <v>5</v>
      </c>
      <c r="D14" s="1" t="s">
        <v>456</v>
      </c>
      <c r="E14" s="19">
        <v>45658.001539988429</v>
      </c>
      <c r="F14" s="1" t="s">
        <v>665</v>
      </c>
      <c r="G14" s="1" t="s">
        <v>480</v>
      </c>
      <c r="H14" s="4"/>
      <c r="I14" s="4">
        <v>2146</v>
      </c>
      <c r="J14" s="4"/>
      <c r="K14" s="5"/>
      <c r="L14" s="5"/>
      <c r="M14" s="11"/>
    </row>
    <row r="15" spans="1:13" x14ac:dyDescent="0.3">
      <c r="A15" s="1" t="s">
        <v>75</v>
      </c>
      <c r="B15" s="1" t="s">
        <v>16</v>
      </c>
      <c r="C15" s="1" t="s">
        <v>4</v>
      </c>
      <c r="D15" s="1" t="s">
        <v>456</v>
      </c>
      <c r="E15" s="19">
        <v>45658.001528356479</v>
      </c>
      <c r="F15" s="1" t="s">
        <v>665</v>
      </c>
      <c r="G15" s="1" t="s">
        <v>480</v>
      </c>
      <c r="H15" s="4"/>
      <c r="I15" s="4">
        <v>2393</v>
      </c>
      <c r="J15" s="4"/>
      <c r="K15" s="5" t="s">
        <v>288</v>
      </c>
      <c r="L15" s="5" t="s">
        <v>312</v>
      </c>
      <c r="M15" s="11">
        <v>500</v>
      </c>
    </row>
    <row r="16" spans="1:13" x14ac:dyDescent="0.3">
      <c r="A16" s="1" t="s">
        <v>91</v>
      </c>
      <c r="B16" s="1" t="s">
        <v>92</v>
      </c>
      <c r="C16" s="1" t="s">
        <v>32</v>
      </c>
      <c r="D16" s="1" t="s">
        <v>456</v>
      </c>
      <c r="E16" s="19">
        <v>45658.001516724536</v>
      </c>
      <c r="F16" s="1" t="s">
        <v>665</v>
      </c>
      <c r="G16" s="1" t="s">
        <v>480</v>
      </c>
      <c r="H16" s="4"/>
      <c r="I16" s="4">
        <v>1481</v>
      </c>
      <c r="J16" s="4"/>
      <c r="K16" s="5"/>
      <c r="L16" s="5"/>
      <c r="M16" s="11"/>
    </row>
    <row r="17" spans="1:13" x14ac:dyDescent="0.3">
      <c r="A17" s="1" t="s">
        <v>69</v>
      </c>
      <c r="B17" s="1" t="s">
        <v>210</v>
      </c>
      <c r="C17" s="1" t="s">
        <v>32</v>
      </c>
      <c r="D17" s="1" t="s">
        <v>456</v>
      </c>
      <c r="E17" s="19">
        <v>45658.001505092594</v>
      </c>
      <c r="F17" s="1" t="s">
        <v>665</v>
      </c>
      <c r="G17" s="1" t="s">
        <v>480</v>
      </c>
      <c r="H17" s="4"/>
      <c r="I17" s="4">
        <v>2321</v>
      </c>
      <c r="J17" s="4"/>
      <c r="K17" s="5"/>
      <c r="L17" s="5"/>
      <c r="M17" s="11"/>
    </row>
    <row r="18" spans="1:13" x14ac:dyDescent="0.3">
      <c r="A18" s="1" t="s">
        <v>336</v>
      </c>
      <c r="B18" s="1" t="s">
        <v>337</v>
      </c>
      <c r="C18" s="1" t="s">
        <v>319</v>
      </c>
      <c r="D18" s="1" t="s">
        <v>456</v>
      </c>
      <c r="E18" s="19">
        <v>45658.001493460652</v>
      </c>
      <c r="F18" s="1" t="s">
        <v>665</v>
      </c>
      <c r="G18" s="1" t="s">
        <v>480</v>
      </c>
      <c r="H18" s="4"/>
      <c r="I18" s="4">
        <v>1905</v>
      </c>
      <c r="J18" s="4"/>
      <c r="K18" s="5"/>
      <c r="L18" s="5"/>
      <c r="M18" s="11"/>
    </row>
    <row r="19" spans="1:13" x14ac:dyDescent="0.3">
      <c r="A19" s="1" t="s">
        <v>334</v>
      </c>
      <c r="B19" s="1" t="s">
        <v>335</v>
      </c>
      <c r="C19" s="1" t="s">
        <v>319</v>
      </c>
      <c r="D19" s="1" t="s">
        <v>456</v>
      </c>
      <c r="E19" s="19">
        <v>45658.001481828702</v>
      </c>
      <c r="F19" s="1" t="s">
        <v>665</v>
      </c>
      <c r="G19" s="1" t="s">
        <v>480</v>
      </c>
      <c r="H19" s="4"/>
      <c r="I19" s="4">
        <v>1852</v>
      </c>
      <c r="J19" s="4"/>
      <c r="K19" s="5"/>
      <c r="L19" s="5"/>
      <c r="M19" s="11"/>
    </row>
    <row r="20" spans="1:13" x14ac:dyDescent="0.3">
      <c r="A20" s="1" t="s">
        <v>399</v>
      </c>
      <c r="B20" s="1" t="s">
        <v>400</v>
      </c>
      <c r="C20" s="1" t="s">
        <v>226</v>
      </c>
      <c r="D20" s="1" t="s">
        <v>456</v>
      </c>
      <c r="E20" s="19">
        <v>45658.001470196759</v>
      </c>
      <c r="F20" s="1" t="s">
        <v>665</v>
      </c>
      <c r="G20" s="1" t="s">
        <v>480</v>
      </c>
      <c r="H20" s="4"/>
      <c r="I20" s="4">
        <v>1924</v>
      </c>
      <c r="J20" s="4"/>
      <c r="K20" s="5"/>
      <c r="L20" s="5"/>
      <c r="M20" s="11"/>
    </row>
    <row r="21" spans="1:13" x14ac:dyDescent="0.3">
      <c r="A21" s="1" t="s">
        <v>332</v>
      </c>
      <c r="B21" s="1" t="s">
        <v>333</v>
      </c>
      <c r="C21" s="1" t="s">
        <v>236</v>
      </c>
      <c r="D21" s="1" t="s">
        <v>456</v>
      </c>
      <c r="E21" s="19">
        <v>45658.001458564817</v>
      </c>
      <c r="F21" s="1" t="s">
        <v>665</v>
      </c>
      <c r="G21" s="1" t="s">
        <v>480</v>
      </c>
      <c r="H21" s="4">
        <v>3</v>
      </c>
      <c r="I21" s="4">
        <v>2248</v>
      </c>
      <c r="J21" s="4"/>
      <c r="K21" s="5"/>
      <c r="L21" s="5"/>
      <c r="M21" s="11"/>
    </row>
    <row r="22" spans="1:13" x14ac:dyDescent="0.3">
      <c r="A22" s="1" t="s">
        <v>670</v>
      </c>
      <c r="B22" s="1" t="s">
        <v>671</v>
      </c>
      <c r="C22" s="1" t="s">
        <v>5</v>
      </c>
      <c r="D22" s="1" t="s">
        <v>456</v>
      </c>
      <c r="E22" s="19">
        <v>45658.001446932867</v>
      </c>
      <c r="F22" s="1" t="s">
        <v>665</v>
      </c>
      <c r="G22" s="1" t="s">
        <v>480</v>
      </c>
      <c r="H22" s="4"/>
      <c r="I22" s="4"/>
      <c r="J22" s="4"/>
      <c r="K22" s="5"/>
      <c r="L22" s="5"/>
      <c r="M22" s="11"/>
    </row>
    <row r="23" spans="1:13" x14ac:dyDescent="0.3">
      <c r="A23" s="1" t="s">
        <v>668</v>
      </c>
      <c r="B23" s="1" t="s">
        <v>669</v>
      </c>
      <c r="C23" s="1" t="s">
        <v>2</v>
      </c>
      <c r="D23" s="1" t="s">
        <v>456</v>
      </c>
      <c r="E23" s="19">
        <v>45658.001435300925</v>
      </c>
      <c r="F23" s="1" t="s">
        <v>665</v>
      </c>
      <c r="G23" s="1" t="s">
        <v>480</v>
      </c>
      <c r="H23" s="4"/>
      <c r="I23" s="4">
        <v>2551</v>
      </c>
      <c r="J23" s="4"/>
      <c r="K23" s="5"/>
      <c r="L23" s="5"/>
      <c r="M23" s="11"/>
    </row>
    <row r="24" spans="1:13" x14ac:dyDescent="0.3">
      <c r="A24" s="1" t="s">
        <v>61</v>
      </c>
      <c r="B24" s="1" t="s">
        <v>18</v>
      </c>
      <c r="C24" s="1" t="s">
        <v>8</v>
      </c>
      <c r="D24" s="1" t="s">
        <v>456</v>
      </c>
      <c r="E24" s="19">
        <v>45658.001423668982</v>
      </c>
      <c r="F24" s="1" t="s">
        <v>665</v>
      </c>
      <c r="G24" s="1" t="s">
        <v>480</v>
      </c>
      <c r="H24" s="4">
        <v>2</v>
      </c>
      <c r="I24" s="4">
        <v>2465</v>
      </c>
      <c r="J24" s="4"/>
      <c r="K24" s="5" t="s">
        <v>288</v>
      </c>
      <c r="L24" s="5" t="s">
        <v>313</v>
      </c>
      <c r="M24" s="11">
        <v>1000</v>
      </c>
    </row>
    <row r="25" spans="1:13" x14ac:dyDescent="0.3">
      <c r="A25" s="1" t="s">
        <v>90</v>
      </c>
      <c r="B25" s="1" t="s">
        <v>15</v>
      </c>
      <c r="C25" s="1" t="s">
        <v>5</v>
      </c>
      <c r="D25" s="1" t="s">
        <v>456</v>
      </c>
      <c r="E25" s="19">
        <v>45658.00141203704</v>
      </c>
      <c r="F25" s="1" t="s">
        <v>665</v>
      </c>
      <c r="G25" s="1" t="s">
        <v>480</v>
      </c>
      <c r="H25" s="4">
        <v>1</v>
      </c>
      <c r="I25" s="4">
        <v>2433</v>
      </c>
      <c r="J25" s="4"/>
      <c r="K25" s="5" t="s">
        <v>288</v>
      </c>
      <c r="L25" s="5" t="s">
        <v>310</v>
      </c>
      <c r="M25" s="11">
        <v>2000</v>
      </c>
    </row>
    <row r="26" spans="1:13" x14ac:dyDescent="0.3">
      <c r="A26" s="1" t="s">
        <v>667</v>
      </c>
      <c r="B26" s="1" t="s">
        <v>666</v>
      </c>
      <c r="C26" s="1" t="s">
        <v>5</v>
      </c>
      <c r="D26" s="1" t="s">
        <v>456</v>
      </c>
      <c r="E26" s="19">
        <v>45658.001400462963</v>
      </c>
      <c r="F26" s="1" t="s">
        <v>665</v>
      </c>
      <c r="G26" s="1" t="s">
        <v>480</v>
      </c>
      <c r="H26" s="4"/>
      <c r="I26" s="4">
        <v>2161</v>
      </c>
      <c r="J26" s="4"/>
      <c r="K26" s="5"/>
      <c r="L26" s="5"/>
      <c r="M26" s="11"/>
    </row>
    <row r="27" spans="1:13" x14ac:dyDescent="0.3">
      <c r="A27" s="1" t="s">
        <v>91</v>
      </c>
      <c r="B27" s="1" t="s">
        <v>92</v>
      </c>
      <c r="C27" s="1" t="s">
        <v>32</v>
      </c>
      <c r="D27" s="1" t="s">
        <v>456</v>
      </c>
      <c r="E27" s="19">
        <v>45658.000798611109</v>
      </c>
      <c r="F27" s="1" t="s">
        <v>594</v>
      </c>
      <c r="G27" s="1" t="s">
        <v>480</v>
      </c>
      <c r="H27" s="4"/>
      <c r="I27" s="4">
        <v>1481</v>
      </c>
      <c r="J27" s="4"/>
      <c r="K27" s="5"/>
      <c r="L27" s="5"/>
      <c r="M27" s="11"/>
    </row>
    <row r="28" spans="1:13" x14ac:dyDescent="0.3">
      <c r="A28" s="1" t="s">
        <v>66</v>
      </c>
      <c r="B28" s="1" t="s">
        <v>54</v>
      </c>
      <c r="C28" s="1" t="s">
        <v>236</v>
      </c>
      <c r="D28" s="1" t="s">
        <v>456</v>
      </c>
      <c r="E28" s="19">
        <v>45658.000787037039</v>
      </c>
      <c r="F28" s="1" t="s">
        <v>594</v>
      </c>
      <c r="G28" s="1" t="s">
        <v>480</v>
      </c>
      <c r="H28" s="4"/>
      <c r="I28" s="4">
        <v>2308</v>
      </c>
      <c r="J28" s="4"/>
      <c r="K28" s="5"/>
      <c r="L28" s="5"/>
      <c r="M28" s="11"/>
    </row>
    <row r="29" spans="1:13" x14ac:dyDescent="0.3">
      <c r="A29" s="1" t="s">
        <v>344</v>
      </c>
      <c r="B29" s="1" t="s">
        <v>345</v>
      </c>
      <c r="C29" s="1" t="s">
        <v>2</v>
      </c>
      <c r="D29" s="1" t="s">
        <v>456</v>
      </c>
      <c r="E29" s="19">
        <v>45658.000775462962</v>
      </c>
      <c r="F29" s="1" t="s">
        <v>594</v>
      </c>
      <c r="G29" s="1" t="s">
        <v>480</v>
      </c>
      <c r="H29" s="4"/>
      <c r="I29" s="4">
        <v>1415</v>
      </c>
      <c r="J29" s="4"/>
      <c r="K29" s="5"/>
      <c r="L29" s="5"/>
      <c r="M29" s="11"/>
    </row>
    <row r="30" spans="1:13" x14ac:dyDescent="0.3">
      <c r="A30" s="1" t="s">
        <v>73</v>
      </c>
      <c r="B30" s="1" t="s">
        <v>19</v>
      </c>
      <c r="C30" s="1" t="s">
        <v>3</v>
      </c>
      <c r="D30" s="1" t="s">
        <v>456</v>
      </c>
      <c r="E30" s="19">
        <v>45658.000763888886</v>
      </c>
      <c r="F30" s="1" t="s">
        <v>594</v>
      </c>
      <c r="G30" s="1" t="s">
        <v>480</v>
      </c>
      <c r="H30" s="4"/>
      <c r="I30" s="4">
        <v>1585</v>
      </c>
      <c r="J30" s="4"/>
      <c r="K30" s="5"/>
      <c r="L30" s="5"/>
      <c r="M30" s="11"/>
    </row>
    <row r="31" spans="1:13" x14ac:dyDescent="0.3">
      <c r="A31" s="1" t="s">
        <v>75</v>
      </c>
      <c r="B31" s="1" t="s">
        <v>16</v>
      </c>
      <c r="C31" s="1" t="s">
        <v>4</v>
      </c>
      <c r="D31" s="1" t="s">
        <v>456</v>
      </c>
      <c r="E31" s="19">
        <v>45658.000752314816</v>
      </c>
      <c r="F31" s="1" t="s">
        <v>594</v>
      </c>
      <c r="G31" s="1" t="s">
        <v>480</v>
      </c>
      <c r="H31" s="4">
        <v>2</v>
      </c>
      <c r="I31" s="4">
        <v>2393</v>
      </c>
      <c r="J31" s="4"/>
      <c r="K31" s="5"/>
      <c r="L31" s="5"/>
      <c r="M31" s="11"/>
    </row>
    <row r="32" spans="1:13" x14ac:dyDescent="0.3">
      <c r="A32" s="1" t="s">
        <v>69</v>
      </c>
      <c r="B32" s="1" t="s">
        <v>210</v>
      </c>
      <c r="C32" s="1" t="s">
        <v>32</v>
      </c>
      <c r="D32" s="1" t="s">
        <v>456</v>
      </c>
      <c r="E32" s="19">
        <v>45658.000740740739</v>
      </c>
      <c r="F32" s="1" t="s">
        <v>594</v>
      </c>
      <c r="G32" s="1" t="s">
        <v>480</v>
      </c>
      <c r="H32" s="4"/>
      <c r="I32" s="4">
        <v>2321</v>
      </c>
      <c r="J32" s="4"/>
      <c r="K32" s="5"/>
      <c r="L32" s="5"/>
      <c r="M32" s="11"/>
    </row>
    <row r="33" spans="1:13" x14ac:dyDescent="0.3">
      <c r="A33" s="1" t="s">
        <v>332</v>
      </c>
      <c r="B33" s="1" t="s">
        <v>333</v>
      </c>
      <c r="C33" s="1" t="s">
        <v>236</v>
      </c>
      <c r="D33" s="1" t="s">
        <v>456</v>
      </c>
      <c r="E33" s="19">
        <v>45658.00072916667</v>
      </c>
      <c r="F33" s="1" t="s">
        <v>594</v>
      </c>
      <c r="G33" s="1" t="s">
        <v>480</v>
      </c>
      <c r="H33" s="4"/>
      <c r="I33" s="4">
        <v>2248</v>
      </c>
      <c r="J33" s="4"/>
      <c r="K33" s="5" t="s">
        <v>288</v>
      </c>
      <c r="L33" s="5" t="s">
        <v>313</v>
      </c>
      <c r="M33" s="11">
        <v>500</v>
      </c>
    </row>
    <row r="34" spans="1:13" x14ac:dyDescent="0.3">
      <c r="A34" s="1" t="s">
        <v>61</v>
      </c>
      <c r="B34" s="1" t="s">
        <v>18</v>
      </c>
      <c r="C34" s="1" t="s">
        <v>8</v>
      </c>
      <c r="D34" s="1" t="s">
        <v>456</v>
      </c>
      <c r="E34" s="19">
        <v>45658.000717592593</v>
      </c>
      <c r="F34" s="1" t="s">
        <v>594</v>
      </c>
      <c r="G34" s="1" t="s">
        <v>484</v>
      </c>
      <c r="H34" s="4"/>
      <c r="I34" s="4">
        <v>2465</v>
      </c>
      <c r="J34" s="4"/>
      <c r="K34" s="5"/>
      <c r="L34" s="5"/>
      <c r="M34" s="11"/>
    </row>
    <row r="35" spans="1:13" x14ac:dyDescent="0.3">
      <c r="A35" s="1" t="s">
        <v>90</v>
      </c>
      <c r="B35" s="1" t="s">
        <v>15</v>
      </c>
      <c r="C35" s="1" t="s">
        <v>5</v>
      </c>
      <c r="D35" s="1" t="s">
        <v>456</v>
      </c>
      <c r="E35" s="19">
        <v>45658.000706018516</v>
      </c>
      <c r="F35" s="1" t="s">
        <v>594</v>
      </c>
      <c r="G35" s="1" t="s">
        <v>480</v>
      </c>
      <c r="H35" s="4">
        <v>1</v>
      </c>
      <c r="I35" s="4">
        <v>2433</v>
      </c>
      <c r="J35" s="4"/>
      <c r="K35" s="5" t="s">
        <v>288</v>
      </c>
      <c r="L35" s="5" t="s">
        <v>310</v>
      </c>
      <c r="M35" s="11">
        <v>1000</v>
      </c>
    </row>
    <row r="36" spans="1:13" x14ac:dyDescent="0.3">
      <c r="A36" s="1" t="s">
        <v>591</v>
      </c>
      <c r="B36" s="1" t="s">
        <v>592</v>
      </c>
      <c r="C36" s="1" t="s">
        <v>55</v>
      </c>
      <c r="D36" s="1" t="s">
        <v>456</v>
      </c>
      <c r="E36" s="19">
        <v>45292.002824074072</v>
      </c>
      <c r="F36" s="1" t="s">
        <v>528</v>
      </c>
      <c r="G36" s="1" t="s">
        <v>480</v>
      </c>
      <c r="H36" s="4"/>
      <c r="I36" s="4"/>
      <c r="J36" s="4"/>
      <c r="K36" s="5" t="s">
        <v>288</v>
      </c>
      <c r="L36" s="5" t="s">
        <v>311</v>
      </c>
      <c r="M36" s="11"/>
    </row>
    <row r="37" spans="1:13" x14ac:dyDescent="0.3">
      <c r="A37" s="1" t="s">
        <v>344</v>
      </c>
      <c r="B37" s="1" t="s">
        <v>345</v>
      </c>
      <c r="C37" s="1" t="s">
        <v>2</v>
      </c>
      <c r="D37" s="1" t="s">
        <v>456</v>
      </c>
      <c r="E37" s="19">
        <v>45292.002812500003</v>
      </c>
      <c r="F37" s="1" t="s">
        <v>528</v>
      </c>
      <c r="G37" s="1" t="s">
        <v>480</v>
      </c>
      <c r="H37" s="4"/>
      <c r="I37" s="4">
        <v>1263</v>
      </c>
      <c r="J37" s="4"/>
      <c r="K37" s="5" t="s">
        <v>288</v>
      </c>
      <c r="L37" s="5" t="s">
        <v>313</v>
      </c>
      <c r="M37" s="11"/>
    </row>
    <row r="38" spans="1:13" x14ac:dyDescent="0.3">
      <c r="A38" s="1" t="s">
        <v>586</v>
      </c>
      <c r="B38" s="1" t="s">
        <v>585</v>
      </c>
      <c r="C38" s="1" t="s">
        <v>55</v>
      </c>
      <c r="D38" s="1" t="s">
        <v>456</v>
      </c>
      <c r="E38" s="19">
        <v>45292.002800925926</v>
      </c>
      <c r="F38" s="1" t="s">
        <v>528</v>
      </c>
      <c r="G38" s="1" t="s">
        <v>480</v>
      </c>
      <c r="H38" s="4"/>
      <c r="I38" s="4"/>
      <c r="J38" s="4"/>
      <c r="K38" s="5" t="s">
        <v>288</v>
      </c>
      <c r="L38" s="5" t="s">
        <v>312</v>
      </c>
      <c r="M38" s="11"/>
    </row>
    <row r="39" spans="1:13" x14ac:dyDescent="0.3">
      <c r="A39" s="1" t="s">
        <v>583</v>
      </c>
      <c r="B39" s="1" t="s">
        <v>584</v>
      </c>
      <c r="C39" s="1" t="s">
        <v>175</v>
      </c>
      <c r="D39" s="1" t="s">
        <v>456</v>
      </c>
      <c r="E39" s="19">
        <v>45292.002789351849</v>
      </c>
      <c r="F39" s="1" t="s">
        <v>528</v>
      </c>
      <c r="G39" s="1" t="s">
        <v>480</v>
      </c>
      <c r="H39" s="4"/>
      <c r="I39" s="4">
        <v>2080</v>
      </c>
      <c r="J39" s="4"/>
      <c r="K39" s="5" t="s">
        <v>288</v>
      </c>
      <c r="L39" s="5" t="s">
        <v>310</v>
      </c>
      <c r="M39" s="11">
        <v>250</v>
      </c>
    </row>
    <row r="40" spans="1:13" x14ac:dyDescent="0.3">
      <c r="A40" s="1" t="s">
        <v>574</v>
      </c>
      <c r="B40" s="1" t="s">
        <v>573</v>
      </c>
      <c r="C40" s="1" t="s">
        <v>354</v>
      </c>
      <c r="D40" s="1" t="s">
        <v>456</v>
      </c>
      <c r="E40" s="19">
        <v>45292.002175925925</v>
      </c>
      <c r="F40" s="1" t="s">
        <v>527</v>
      </c>
      <c r="G40" s="1" t="s">
        <v>480</v>
      </c>
      <c r="H40" s="4"/>
      <c r="I40" s="4"/>
      <c r="J40" s="4"/>
      <c r="K40" s="5"/>
      <c r="L40" s="5"/>
      <c r="M40" s="11"/>
    </row>
    <row r="41" spans="1:13" x14ac:dyDescent="0.3">
      <c r="A41" s="1" t="s">
        <v>399</v>
      </c>
      <c r="B41" s="1" t="s">
        <v>400</v>
      </c>
      <c r="C41" s="1" t="s">
        <v>226</v>
      </c>
      <c r="D41" s="1" t="s">
        <v>456</v>
      </c>
      <c r="E41" s="19">
        <v>45292.002164351848</v>
      </c>
      <c r="F41" s="1" t="s">
        <v>527</v>
      </c>
      <c r="G41" s="1" t="s">
        <v>480</v>
      </c>
      <c r="H41" s="4"/>
      <c r="I41" s="4">
        <v>1924</v>
      </c>
      <c r="J41" s="4"/>
      <c r="K41" s="5" t="s">
        <v>288</v>
      </c>
      <c r="L41" s="5" t="s">
        <v>312</v>
      </c>
      <c r="M41" s="11"/>
    </row>
    <row r="42" spans="1:13" x14ac:dyDescent="0.3">
      <c r="A42" s="1" t="s">
        <v>73</v>
      </c>
      <c r="B42" s="1" t="s">
        <v>19</v>
      </c>
      <c r="C42" s="1" t="s">
        <v>3</v>
      </c>
      <c r="D42" s="1" t="s">
        <v>456</v>
      </c>
      <c r="E42" s="19">
        <v>45292.002152777779</v>
      </c>
      <c r="F42" s="1" t="s">
        <v>527</v>
      </c>
      <c r="G42" s="1" t="s">
        <v>480</v>
      </c>
      <c r="H42" s="4"/>
      <c r="I42" s="4">
        <v>1645</v>
      </c>
      <c r="J42" s="4"/>
      <c r="K42" s="5"/>
      <c r="L42" s="5"/>
      <c r="M42" s="11"/>
    </row>
    <row r="43" spans="1:13" x14ac:dyDescent="0.3">
      <c r="A43" s="1" t="s">
        <v>75</v>
      </c>
      <c r="B43" s="1" t="s">
        <v>16</v>
      </c>
      <c r="C43" s="1" t="s">
        <v>4</v>
      </c>
      <c r="D43" s="1" t="s">
        <v>456</v>
      </c>
      <c r="E43" s="19">
        <v>45292.002141203702</v>
      </c>
      <c r="F43" s="1" t="s">
        <v>527</v>
      </c>
      <c r="G43" s="1" t="s">
        <v>480</v>
      </c>
      <c r="H43" s="4"/>
      <c r="I43" s="4">
        <v>2432</v>
      </c>
      <c r="J43" s="4"/>
      <c r="K43" s="5" t="s">
        <v>288</v>
      </c>
      <c r="L43" s="5" t="s">
        <v>313</v>
      </c>
      <c r="M43" s="11">
        <v>250</v>
      </c>
    </row>
    <row r="44" spans="1:13" x14ac:dyDescent="0.3">
      <c r="A44" s="1" t="s">
        <v>589</v>
      </c>
      <c r="B44" s="1" t="s">
        <v>590</v>
      </c>
      <c r="C44" s="1" t="s">
        <v>3</v>
      </c>
      <c r="D44" s="1" t="s">
        <v>456</v>
      </c>
      <c r="E44" s="19">
        <v>45292.002129629633</v>
      </c>
      <c r="F44" s="1" t="s">
        <v>527</v>
      </c>
      <c r="G44" s="1" t="s">
        <v>480</v>
      </c>
      <c r="H44" s="4"/>
      <c r="I44" s="4">
        <v>1000</v>
      </c>
      <c r="J44" s="4"/>
      <c r="K44" s="5"/>
      <c r="L44" s="5"/>
      <c r="M44" s="11"/>
    </row>
    <row r="45" spans="1:13" x14ac:dyDescent="0.3">
      <c r="A45" s="1" t="s">
        <v>370</v>
      </c>
      <c r="B45" s="1" t="s">
        <v>371</v>
      </c>
      <c r="C45" s="1" t="s">
        <v>175</v>
      </c>
      <c r="D45" s="1" t="s">
        <v>456</v>
      </c>
      <c r="E45" s="19">
        <v>45292.002118055556</v>
      </c>
      <c r="F45" s="1" t="s">
        <v>527</v>
      </c>
      <c r="G45" s="1" t="s">
        <v>480</v>
      </c>
      <c r="H45" s="4"/>
      <c r="I45" s="4">
        <v>1842</v>
      </c>
      <c r="J45" s="4"/>
      <c r="K45" s="5" t="s">
        <v>288</v>
      </c>
      <c r="L45" s="5" t="s">
        <v>311</v>
      </c>
      <c r="M45" s="11"/>
    </row>
    <row r="46" spans="1:13" x14ac:dyDescent="0.3">
      <c r="A46" s="1" t="s">
        <v>200</v>
      </c>
      <c r="B46" s="1" t="s">
        <v>201</v>
      </c>
      <c r="C46" s="1" t="s">
        <v>175</v>
      </c>
      <c r="D46" s="1" t="s">
        <v>456</v>
      </c>
      <c r="E46" s="19">
        <v>45292.002106481479</v>
      </c>
      <c r="F46" s="1" t="s">
        <v>527</v>
      </c>
      <c r="G46" s="1" t="s">
        <v>480</v>
      </c>
      <c r="H46" s="4"/>
      <c r="I46" s="4">
        <v>1784</v>
      </c>
      <c r="J46" s="4"/>
      <c r="K46" s="5"/>
      <c r="L46" s="5"/>
      <c r="M46" s="11"/>
    </row>
    <row r="47" spans="1:13" x14ac:dyDescent="0.3">
      <c r="A47" s="1" t="s">
        <v>90</v>
      </c>
      <c r="B47" s="1" t="s">
        <v>15</v>
      </c>
      <c r="C47" s="1" t="s">
        <v>2</v>
      </c>
      <c r="D47" s="1" t="s">
        <v>456</v>
      </c>
      <c r="E47" s="19">
        <v>45292.00209490741</v>
      </c>
      <c r="F47" s="1" t="s">
        <v>527</v>
      </c>
      <c r="G47" s="1" t="s">
        <v>480</v>
      </c>
      <c r="H47" s="4"/>
      <c r="I47" s="4">
        <v>2464</v>
      </c>
      <c r="J47" s="4"/>
      <c r="K47" s="5" t="s">
        <v>288</v>
      </c>
      <c r="L47" s="5" t="s">
        <v>310</v>
      </c>
      <c r="M47" s="11">
        <v>500</v>
      </c>
    </row>
    <row r="48" spans="1:13" x14ac:dyDescent="0.3">
      <c r="A48" s="1" t="s">
        <v>581</v>
      </c>
      <c r="B48" s="1" t="s">
        <v>582</v>
      </c>
      <c r="C48" s="1" t="s">
        <v>53</v>
      </c>
      <c r="D48" s="1" t="s">
        <v>456</v>
      </c>
      <c r="E48" s="19">
        <v>45292.001493055555</v>
      </c>
      <c r="F48" s="1" t="s">
        <v>526</v>
      </c>
      <c r="G48" s="1" t="s">
        <v>480</v>
      </c>
      <c r="H48" s="4"/>
      <c r="I48" s="4">
        <v>1168</v>
      </c>
      <c r="J48" s="4"/>
      <c r="K48" s="5" t="s">
        <v>288</v>
      </c>
      <c r="L48" s="5" t="s">
        <v>312</v>
      </c>
      <c r="M48" s="11"/>
    </row>
    <row r="49" spans="1:13" x14ac:dyDescent="0.3">
      <c r="A49" s="1" t="s">
        <v>587</v>
      </c>
      <c r="B49" s="1" t="s">
        <v>588</v>
      </c>
      <c r="C49" s="1" t="s">
        <v>1</v>
      </c>
      <c r="D49" s="1" t="s">
        <v>456</v>
      </c>
      <c r="E49" s="19">
        <v>45292.001481481479</v>
      </c>
      <c r="F49" s="1" t="s">
        <v>526</v>
      </c>
      <c r="G49" s="1" t="s">
        <v>480</v>
      </c>
      <c r="H49" s="4"/>
      <c r="I49" s="4">
        <v>971</v>
      </c>
      <c r="J49" s="4"/>
      <c r="K49" s="5"/>
      <c r="L49" s="5"/>
      <c r="M49" s="11"/>
    </row>
    <row r="50" spans="1:13" x14ac:dyDescent="0.3">
      <c r="A50" s="1" t="s">
        <v>571</v>
      </c>
      <c r="B50" s="1" t="s">
        <v>572</v>
      </c>
      <c r="C50" s="1" t="s">
        <v>5</v>
      </c>
      <c r="D50" s="1" t="s">
        <v>456</v>
      </c>
      <c r="E50" s="19">
        <v>45292.001469907409</v>
      </c>
      <c r="F50" s="1" t="s">
        <v>526</v>
      </c>
      <c r="G50" s="1" t="s">
        <v>480</v>
      </c>
      <c r="H50" s="4"/>
      <c r="I50" s="4">
        <v>1661</v>
      </c>
      <c r="J50" s="4"/>
      <c r="K50" s="5"/>
      <c r="L50" s="5"/>
      <c r="M50" s="11"/>
    </row>
    <row r="51" spans="1:13" x14ac:dyDescent="0.3">
      <c r="A51" s="1" t="s">
        <v>417</v>
      </c>
      <c r="B51" s="1" t="s">
        <v>416</v>
      </c>
      <c r="C51" s="1" t="s">
        <v>5</v>
      </c>
      <c r="D51" s="1" t="s">
        <v>456</v>
      </c>
      <c r="E51" s="19">
        <v>45292.001458333332</v>
      </c>
      <c r="F51" s="1" t="s">
        <v>526</v>
      </c>
      <c r="G51" s="1" t="s">
        <v>480</v>
      </c>
      <c r="H51" s="4"/>
      <c r="I51" s="4">
        <v>938</v>
      </c>
      <c r="J51" s="4"/>
      <c r="K51" s="5"/>
      <c r="L51" s="5"/>
      <c r="M51" s="11"/>
    </row>
    <row r="52" spans="1:13" x14ac:dyDescent="0.3">
      <c r="A52" s="1" t="s">
        <v>583</v>
      </c>
      <c r="B52" s="1" t="s">
        <v>584</v>
      </c>
      <c r="C52" s="1" t="s">
        <v>175</v>
      </c>
      <c r="D52" s="1" t="s">
        <v>456</v>
      </c>
      <c r="E52" s="19">
        <v>45292.001446759263</v>
      </c>
      <c r="F52" s="1" t="s">
        <v>526</v>
      </c>
      <c r="G52" s="1" t="s">
        <v>480</v>
      </c>
      <c r="H52" s="4"/>
      <c r="I52" s="4">
        <v>2080</v>
      </c>
      <c r="J52" s="4"/>
      <c r="K52" s="5" t="s">
        <v>288</v>
      </c>
      <c r="L52" s="5" t="s">
        <v>313</v>
      </c>
      <c r="M52" s="11"/>
    </row>
    <row r="53" spans="1:13" x14ac:dyDescent="0.3">
      <c r="A53" s="1" t="s">
        <v>586</v>
      </c>
      <c r="B53" s="1" t="s">
        <v>585</v>
      </c>
      <c r="C53" s="1" t="s">
        <v>55</v>
      </c>
      <c r="D53" s="1" t="s">
        <v>456</v>
      </c>
      <c r="E53" s="19">
        <v>45292.001435185186</v>
      </c>
      <c r="F53" s="1" t="s">
        <v>526</v>
      </c>
      <c r="G53" s="1" t="s">
        <v>480</v>
      </c>
      <c r="H53" s="4"/>
      <c r="I53" s="4"/>
      <c r="J53" s="4"/>
      <c r="K53" s="5"/>
      <c r="L53" s="5"/>
      <c r="M53" s="11"/>
    </row>
    <row r="54" spans="1:13" x14ac:dyDescent="0.3">
      <c r="A54" s="1" t="s">
        <v>344</v>
      </c>
      <c r="B54" s="1" t="s">
        <v>345</v>
      </c>
      <c r="C54" s="1" t="s">
        <v>2</v>
      </c>
      <c r="D54" s="1" t="s">
        <v>456</v>
      </c>
      <c r="E54" s="19">
        <v>45292.001423611109</v>
      </c>
      <c r="F54" s="1" t="s">
        <v>526</v>
      </c>
      <c r="G54" s="1" t="s">
        <v>480</v>
      </c>
      <c r="H54" s="4"/>
      <c r="I54" s="4">
        <v>1263</v>
      </c>
      <c r="J54" s="4"/>
      <c r="K54" s="5" t="s">
        <v>288</v>
      </c>
      <c r="L54" s="5" t="s">
        <v>311</v>
      </c>
      <c r="M54" s="11"/>
    </row>
    <row r="55" spans="1:13" x14ac:dyDescent="0.3">
      <c r="A55" s="1" t="s">
        <v>414</v>
      </c>
      <c r="B55" s="1" t="s">
        <v>415</v>
      </c>
      <c r="C55" s="1" t="s">
        <v>5</v>
      </c>
      <c r="D55" s="1" t="s">
        <v>456</v>
      </c>
      <c r="E55" s="19">
        <v>45292.00141203704</v>
      </c>
      <c r="F55" s="1" t="s">
        <v>526</v>
      </c>
      <c r="G55" s="1" t="s">
        <v>480</v>
      </c>
      <c r="H55" s="4"/>
      <c r="I55" s="4">
        <v>1173</v>
      </c>
      <c r="J55" s="4"/>
      <c r="K55" s="5"/>
      <c r="L55" s="5"/>
      <c r="M55" s="11"/>
    </row>
    <row r="56" spans="1:13" x14ac:dyDescent="0.3">
      <c r="A56" s="1" t="s">
        <v>61</v>
      </c>
      <c r="B56" s="1" t="s">
        <v>18</v>
      </c>
      <c r="C56" s="1" t="s">
        <v>53</v>
      </c>
      <c r="D56" s="1" t="s">
        <v>456</v>
      </c>
      <c r="E56" s="19">
        <v>45292.001400462963</v>
      </c>
      <c r="F56" s="1" t="s">
        <v>526</v>
      </c>
      <c r="G56" s="1" t="s">
        <v>480</v>
      </c>
      <c r="H56" s="4"/>
      <c r="I56" s="4">
        <v>2364</v>
      </c>
      <c r="J56" s="4"/>
      <c r="K56" s="5" t="s">
        <v>288</v>
      </c>
      <c r="L56" s="5" t="s">
        <v>310</v>
      </c>
      <c r="M56" s="11">
        <v>250</v>
      </c>
    </row>
    <row r="57" spans="1:13" x14ac:dyDescent="0.3">
      <c r="A57" s="1" t="s">
        <v>344</v>
      </c>
      <c r="B57" s="1" t="s">
        <v>345</v>
      </c>
      <c r="C57" s="1" t="s">
        <v>2</v>
      </c>
      <c r="D57" s="1" t="s">
        <v>456</v>
      </c>
      <c r="E57" s="19">
        <v>45292.001030092593</v>
      </c>
      <c r="F57" s="1" t="s">
        <v>525</v>
      </c>
      <c r="G57" s="1" t="s">
        <v>480</v>
      </c>
      <c r="H57" s="4"/>
      <c r="I57" s="4">
        <v>1263</v>
      </c>
      <c r="J57" s="4"/>
      <c r="K57" s="5"/>
      <c r="L57" s="5"/>
      <c r="M57" s="11"/>
    </row>
    <row r="58" spans="1:13" x14ac:dyDescent="0.3">
      <c r="A58" s="1" t="s">
        <v>583</v>
      </c>
      <c r="B58" s="1" t="s">
        <v>584</v>
      </c>
      <c r="C58" s="1" t="s">
        <v>175</v>
      </c>
      <c r="D58" s="1" t="s">
        <v>456</v>
      </c>
      <c r="E58" s="19">
        <v>45292.001018518517</v>
      </c>
      <c r="F58" s="1" t="s">
        <v>525</v>
      </c>
      <c r="G58" s="1" t="s">
        <v>480</v>
      </c>
      <c r="H58" s="4"/>
      <c r="I58" s="4">
        <v>2080</v>
      </c>
      <c r="J58" s="4"/>
      <c r="K58" s="5"/>
      <c r="L58" s="5"/>
      <c r="M58" s="11"/>
    </row>
    <row r="59" spans="1:13" x14ac:dyDescent="0.3">
      <c r="A59" s="1" t="s">
        <v>360</v>
      </c>
      <c r="B59" s="1" t="s">
        <v>438</v>
      </c>
      <c r="C59" s="1" t="s">
        <v>2</v>
      </c>
      <c r="D59" s="1" t="s">
        <v>456</v>
      </c>
      <c r="E59" s="19">
        <v>45292.001006944447</v>
      </c>
      <c r="F59" s="1" t="s">
        <v>525</v>
      </c>
      <c r="G59" s="1" t="s">
        <v>480</v>
      </c>
      <c r="H59" s="4"/>
      <c r="I59" s="4">
        <v>1391</v>
      </c>
      <c r="J59" s="4"/>
      <c r="K59" s="5"/>
      <c r="L59" s="5"/>
      <c r="M59" s="11"/>
    </row>
    <row r="60" spans="1:13" x14ac:dyDescent="0.3">
      <c r="A60" s="1" t="s">
        <v>245</v>
      </c>
      <c r="B60" s="1" t="s">
        <v>246</v>
      </c>
      <c r="C60" s="1" t="s">
        <v>5</v>
      </c>
      <c r="D60" s="1" t="s">
        <v>456</v>
      </c>
      <c r="E60" s="19">
        <v>45292.00099537037</v>
      </c>
      <c r="F60" s="1" t="s">
        <v>525</v>
      </c>
      <c r="G60" s="1" t="s">
        <v>480</v>
      </c>
      <c r="H60" s="4"/>
      <c r="I60" s="4">
        <v>2122</v>
      </c>
      <c r="J60" s="4"/>
      <c r="K60" s="5" t="s">
        <v>288</v>
      </c>
      <c r="L60" s="5" t="s">
        <v>311</v>
      </c>
      <c r="M60" s="11">
        <v>250</v>
      </c>
    </row>
    <row r="61" spans="1:13" x14ac:dyDescent="0.3">
      <c r="A61" s="1" t="s">
        <v>581</v>
      </c>
      <c r="B61" s="1" t="s">
        <v>582</v>
      </c>
      <c r="C61" s="1" t="s">
        <v>53</v>
      </c>
      <c r="D61" s="1" t="s">
        <v>456</v>
      </c>
      <c r="E61" s="19">
        <v>45292.000983796293</v>
      </c>
      <c r="F61" s="1" t="s">
        <v>525</v>
      </c>
      <c r="G61" s="1" t="s">
        <v>480</v>
      </c>
      <c r="H61" s="4"/>
      <c r="I61" s="4">
        <v>1168</v>
      </c>
      <c r="J61" s="4"/>
      <c r="K61" s="5"/>
      <c r="L61" s="5"/>
      <c r="M61" s="11"/>
    </row>
    <row r="62" spans="1:13" x14ac:dyDescent="0.3">
      <c r="A62" s="1" t="s">
        <v>81</v>
      </c>
      <c r="B62" s="1" t="s">
        <v>50</v>
      </c>
      <c r="C62" s="1" t="s">
        <v>5</v>
      </c>
      <c r="D62" s="1" t="s">
        <v>456</v>
      </c>
      <c r="E62" s="19">
        <v>45292.000972222224</v>
      </c>
      <c r="F62" s="1" t="s">
        <v>525</v>
      </c>
      <c r="G62" s="1" t="s">
        <v>480</v>
      </c>
      <c r="H62" s="4"/>
      <c r="I62" s="4">
        <v>2047</v>
      </c>
      <c r="J62" s="4"/>
      <c r="K62" s="5"/>
      <c r="L62" s="5"/>
      <c r="M62" s="11"/>
    </row>
    <row r="63" spans="1:13" x14ac:dyDescent="0.3">
      <c r="A63" s="1" t="s">
        <v>374</v>
      </c>
      <c r="B63" s="1" t="s">
        <v>375</v>
      </c>
      <c r="C63" s="1" t="s">
        <v>175</v>
      </c>
      <c r="D63" s="1" t="s">
        <v>456</v>
      </c>
      <c r="E63" s="19">
        <v>45292.000960648147</v>
      </c>
      <c r="F63" s="1" t="s">
        <v>525</v>
      </c>
      <c r="G63" s="1" t="s">
        <v>480</v>
      </c>
      <c r="H63" s="4"/>
      <c r="I63" s="4">
        <v>1416</v>
      </c>
      <c r="J63" s="4"/>
      <c r="K63" s="5"/>
      <c r="L63" s="5"/>
      <c r="M63" s="11"/>
    </row>
    <row r="64" spans="1:13" x14ac:dyDescent="0.3">
      <c r="A64" s="1" t="s">
        <v>332</v>
      </c>
      <c r="B64" s="1" t="s">
        <v>333</v>
      </c>
      <c r="C64" s="1" t="s">
        <v>236</v>
      </c>
      <c r="D64" s="1" t="s">
        <v>456</v>
      </c>
      <c r="E64" s="19">
        <v>45292.000949074078</v>
      </c>
      <c r="F64" s="1" t="s">
        <v>525</v>
      </c>
      <c r="G64" s="1" t="s">
        <v>480</v>
      </c>
      <c r="H64" s="4"/>
      <c r="I64" s="4">
        <v>2225</v>
      </c>
      <c r="J64" s="4"/>
      <c r="K64" s="5" t="s">
        <v>288</v>
      </c>
      <c r="L64" s="5" t="s">
        <v>312</v>
      </c>
      <c r="M64" s="11">
        <v>500</v>
      </c>
    </row>
    <row r="65" spans="1:13" x14ac:dyDescent="0.3">
      <c r="A65" s="1" t="s">
        <v>579</v>
      </c>
      <c r="B65" s="1" t="s">
        <v>580</v>
      </c>
      <c r="C65" s="1" t="s">
        <v>175</v>
      </c>
      <c r="D65" s="1" t="s">
        <v>458</v>
      </c>
      <c r="E65" s="19">
        <v>45292.000937500001</v>
      </c>
      <c r="F65" s="1" t="s">
        <v>525</v>
      </c>
      <c r="G65" s="1" t="s">
        <v>480</v>
      </c>
      <c r="H65" s="4"/>
      <c r="I65" s="4">
        <v>1050</v>
      </c>
      <c r="J65" s="4"/>
      <c r="K65" s="5"/>
      <c r="L65" s="5"/>
      <c r="M65" s="11"/>
    </row>
    <row r="66" spans="1:13" x14ac:dyDescent="0.3">
      <c r="A66" s="1" t="s">
        <v>399</v>
      </c>
      <c r="B66" s="1" t="s">
        <v>400</v>
      </c>
      <c r="C66" s="1" t="s">
        <v>226</v>
      </c>
      <c r="D66" s="1" t="s">
        <v>456</v>
      </c>
      <c r="E66" s="19">
        <v>45292.000925925924</v>
      </c>
      <c r="F66" s="1" t="s">
        <v>525</v>
      </c>
      <c r="G66" s="1" t="s">
        <v>480</v>
      </c>
      <c r="H66" s="4"/>
      <c r="I66" s="4">
        <v>1924</v>
      </c>
      <c r="J66" s="4"/>
      <c r="K66" s="5"/>
      <c r="L66" s="5"/>
      <c r="M66" s="11"/>
    </row>
    <row r="67" spans="1:13" x14ac:dyDescent="0.3">
      <c r="A67" s="1" t="s">
        <v>577</v>
      </c>
      <c r="B67" s="1" t="s">
        <v>578</v>
      </c>
      <c r="C67" s="1" t="s">
        <v>250</v>
      </c>
      <c r="D67" s="1" t="s">
        <v>456</v>
      </c>
      <c r="E67" s="19">
        <v>45292.000914351855</v>
      </c>
      <c r="F67" s="1" t="s">
        <v>525</v>
      </c>
      <c r="G67" s="1" t="s">
        <v>480</v>
      </c>
      <c r="H67" s="4"/>
      <c r="I67" s="4">
        <v>1428</v>
      </c>
      <c r="J67" s="4"/>
      <c r="K67" s="5"/>
      <c r="L67" s="5"/>
      <c r="M67" s="11"/>
    </row>
    <row r="68" spans="1:13" x14ac:dyDescent="0.3">
      <c r="A68" s="1" t="s">
        <v>259</v>
      </c>
      <c r="B68" s="1" t="s">
        <v>260</v>
      </c>
      <c r="C68" s="1" t="s">
        <v>4</v>
      </c>
      <c r="D68" s="1" t="s">
        <v>456</v>
      </c>
      <c r="E68" s="19">
        <v>45292.000902777778</v>
      </c>
      <c r="F68" s="1" t="s">
        <v>525</v>
      </c>
      <c r="G68" s="1" t="s">
        <v>480</v>
      </c>
      <c r="H68" s="4"/>
      <c r="I68" s="4">
        <v>2404</v>
      </c>
      <c r="J68" s="4"/>
      <c r="K68" s="5"/>
      <c r="L68" s="5"/>
      <c r="M68" s="11"/>
    </row>
    <row r="69" spans="1:13" x14ac:dyDescent="0.3">
      <c r="A69" s="1" t="s">
        <v>575</v>
      </c>
      <c r="B69" s="1" t="s">
        <v>576</v>
      </c>
      <c r="C69" s="1" t="s">
        <v>1</v>
      </c>
      <c r="D69" s="1" t="s">
        <v>456</v>
      </c>
      <c r="E69" s="19">
        <v>45292.000891203701</v>
      </c>
      <c r="F69" s="1" t="s">
        <v>525</v>
      </c>
      <c r="G69" s="1" t="s">
        <v>480</v>
      </c>
      <c r="H69" s="4"/>
      <c r="I69" s="4"/>
      <c r="J69" s="4"/>
      <c r="K69" s="5"/>
      <c r="L69" s="5"/>
      <c r="M69" s="11"/>
    </row>
    <row r="70" spans="1:13" x14ac:dyDescent="0.3">
      <c r="A70" s="1" t="s">
        <v>336</v>
      </c>
      <c r="B70" s="1" t="s">
        <v>337</v>
      </c>
      <c r="C70" s="1" t="s">
        <v>319</v>
      </c>
      <c r="D70" s="1" t="s">
        <v>456</v>
      </c>
      <c r="E70" s="19">
        <v>45292.000879629632</v>
      </c>
      <c r="F70" s="1" t="s">
        <v>525</v>
      </c>
      <c r="G70" s="1" t="s">
        <v>480</v>
      </c>
      <c r="H70" s="4"/>
      <c r="I70" s="4">
        <v>1894</v>
      </c>
      <c r="J70" s="4"/>
      <c r="K70" s="5"/>
      <c r="L70" s="5"/>
      <c r="M70" s="11"/>
    </row>
    <row r="71" spans="1:13" x14ac:dyDescent="0.3">
      <c r="A71" s="1" t="s">
        <v>257</v>
      </c>
      <c r="B71" s="1" t="s">
        <v>258</v>
      </c>
      <c r="C71" s="1" t="s">
        <v>2</v>
      </c>
      <c r="D71" s="1" t="s">
        <v>456</v>
      </c>
      <c r="E71" s="19">
        <v>45292.000868055555</v>
      </c>
      <c r="F71" s="1" t="s">
        <v>525</v>
      </c>
      <c r="G71" s="1" t="s">
        <v>480</v>
      </c>
      <c r="H71" s="4"/>
      <c r="I71" s="4">
        <v>1434</v>
      </c>
      <c r="J71" s="4"/>
      <c r="K71" s="5"/>
      <c r="L71" s="5"/>
      <c r="M71" s="11"/>
    </row>
    <row r="72" spans="1:13" x14ac:dyDescent="0.3">
      <c r="A72" s="1" t="s">
        <v>75</v>
      </c>
      <c r="B72" s="1" t="s">
        <v>16</v>
      </c>
      <c r="C72" s="1" t="s">
        <v>4</v>
      </c>
      <c r="D72" s="1" t="s">
        <v>456</v>
      </c>
      <c r="E72" s="19">
        <v>45292.000856481478</v>
      </c>
      <c r="F72" s="1" t="s">
        <v>525</v>
      </c>
      <c r="G72" s="1" t="s">
        <v>480</v>
      </c>
      <c r="H72" s="4"/>
      <c r="I72" s="4">
        <v>2432</v>
      </c>
      <c r="J72" s="4"/>
      <c r="K72" s="5"/>
      <c r="L72" s="5"/>
      <c r="M72" s="11"/>
    </row>
    <row r="73" spans="1:13" x14ac:dyDescent="0.3">
      <c r="A73" s="1" t="s">
        <v>574</v>
      </c>
      <c r="B73" s="1" t="s">
        <v>573</v>
      </c>
      <c r="C73" s="1" t="s">
        <v>354</v>
      </c>
      <c r="D73" s="1" t="s">
        <v>456</v>
      </c>
      <c r="E73" s="19">
        <v>45292.000844907408</v>
      </c>
      <c r="F73" s="1" t="s">
        <v>525</v>
      </c>
      <c r="G73" s="1" t="s">
        <v>480</v>
      </c>
      <c r="H73" s="4"/>
      <c r="I73" s="4"/>
      <c r="J73" s="4"/>
      <c r="K73" s="5"/>
      <c r="L73" s="5"/>
      <c r="M73" s="11"/>
    </row>
    <row r="74" spans="1:13" x14ac:dyDescent="0.3">
      <c r="A74" s="1" t="s">
        <v>79</v>
      </c>
      <c r="B74" s="1" t="s">
        <v>21</v>
      </c>
      <c r="C74" s="1" t="s">
        <v>5</v>
      </c>
      <c r="D74" s="1" t="s">
        <v>456</v>
      </c>
      <c r="E74" s="19">
        <v>45292.000833333332</v>
      </c>
      <c r="F74" s="1" t="s">
        <v>525</v>
      </c>
      <c r="G74" s="1" t="s">
        <v>480</v>
      </c>
      <c r="H74" s="4"/>
      <c r="I74" s="4">
        <v>1882</v>
      </c>
      <c r="J74" s="4"/>
      <c r="K74" s="5"/>
      <c r="L74" s="5"/>
      <c r="M74" s="11"/>
    </row>
    <row r="75" spans="1:13" x14ac:dyDescent="0.3">
      <c r="A75" s="1" t="s">
        <v>91</v>
      </c>
      <c r="B75" s="1" t="s">
        <v>92</v>
      </c>
      <c r="C75" s="1" t="s">
        <v>32</v>
      </c>
      <c r="D75" s="1" t="s">
        <v>456</v>
      </c>
      <c r="E75" s="19">
        <v>45292.000821759262</v>
      </c>
      <c r="F75" s="1" t="s">
        <v>525</v>
      </c>
      <c r="G75" s="1" t="s">
        <v>480</v>
      </c>
      <c r="H75" s="4"/>
      <c r="I75" s="4">
        <v>1462</v>
      </c>
      <c r="J75" s="4"/>
      <c r="K75" s="5"/>
      <c r="L75" s="5"/>
      <c r="M75" s="11"/>
    </row>
    <row r="76" spans="1:13" x14ac:dyDescent="0.3">
      <c r="A76" s="1" t="s">
        <v>112</v>
      </c>
      <c r="B76" s="1" t="s">
        <v>113</v>
      </c>
      <c r="C76" s="1" t="s">
        <v>32</v>
      </c>
      <c r="D76" s="1" t="s">
        <v>456</v>
      </c>
      <c r="E76" s="19">
        <v>45292.000810185185</v>
      </c>
      <c r="F76" s="1" t="s">
        <v>525</v>
      </c>
      <c r="G76" s="1" t="s">
        <v>480</v>
      </c>
      <c r="H76" s="4"/>
      <c r="I76" s="4">
        <v>2433</v>
      </c>
      <c r="J76" s="4"/>
      <c r="K76" s="5"/>
      <c r="L76" s="5"/>
      <c r="M76" s="11"/>
    </row>
    <row r="77" spans="1:13" x14ac:dyDescent="0.3">
      <c r="A77" s="1" t="s">
        <v>334</v>
      </c>
      <c r="B77" s="1" t="s">
        <v>335</v>
      </c>
      <c r="C77" s="1" t="s">
        <v>319</v>
      </c>
      <c r="D77" s="1" t="s">
        <v>456</v>
      </c>
      <c r="E77" s="19">
        <v>45292.000798611109</v>
      </c>
      <c r="F77" s="1" t="s">
        <v>525</v>
      </c>
      <c r="G77" s="1" t="s">
        <v>480</v>
      </c>
      <c r="H77" s="4"/>
      <c r="I77" s="4">
        <v>1815</v>
      </c>
      <c r="J77" s="4"/>
      <c r="K77" s="5"/>
      <c r="L77" s="5"/>
      <c r="M77" s="11"/>
    </row>
    <row r="78" spans="1:13" x14ac:dyDescent="0.3">
      <c r="A78" s="1" t="s">
        <v>363</v>
      </c>
      <c r="B78" s="1" t="s">
        <v>359</v>
      </c>
      <c r="C78" s="1" t="s">
        <v>2</v>
      </c>
      <c r="D78" s="1" t="s">
        <v>456</v>
      </c>
      <c r="E78" s="19">
        <v>45292.000787037039</v>
      </c>
      <c r="F78" s="1" t="s">
        <v>525</v>
      </c>
      <c r="G78" s="1" t="s">
        <v>480</v>
      </c>
      <c r="H78" s="4"/>
      <c r="I78" s="4">
        <v>1538</v>
      </c>
      <c r="J78" s="4"/>
      <c r="K78" s="5"/>
      <c r="L78" s="5"/>
      <c r="M78" s="11"/>
    </row>
    <row r="79" spans="1:13" x14ac:dyDescent="0.3">
      <c r="A79" s="1" t="s">
        <v>61</v>
      </c>
      <c r="B79" s="1" t="s">
        <v>18</v>
      </c>
      <c r="C79" s="1" t="s">
        <v>53</v>
      </c>
      <c r="D79" s="1" t="s">
        <v>456</v>
      </c>
      <c r="E79" s="19">
        <v>45292.000775462962</v>
      </c>
      <c r="F79" s="1" t="s">
        <v>525</v>
      </c>
      <c r="G79" s="1" t="s">
        <v>480</v>
      </c>
      <c r="H79" s="4"/>
      <c r="I79" s="4">
        <v>2364</v>
      </c>
      <c r="J79" s="4"/>
      <c r="K79" s="5" t="s">
        <v>288</v>
      </c>
      <c r="L79" s="5" t="s">
        <v>313</v>
      </c>
      <c r="M79" s="11">
        <v>1000</v>
      </c>
    </row>
    <row r="80" spans="1:13" x14ac:dyDescent="0.3">
      <c r="A80" s="1" t="s">
        <v>200</v>
      </c>
      <c r="B80" s="1" t="s">
        <v>201</v>
      </c>
      <c r="C80" s="1" t="s">
        <v>175</v>
      </c>
      <c r="D80" s="1" t="s">
        <v>456</v>
      </c>
      <c r="E80" s="19">
        <v>45292.000763888886</v>
      </c>
      <c r="F80" s="1" t="s">
        <v>525</v>
      </c>
      <c r="G80" s="1" t="s">
        <v>480</v>
      </c>
      <c r="H80" s="4"/>
      <c r="I80" s="4">
        <v>1784</v>
      </c>
      <c r="J80" s="4"/>
      <c r="K80" s="5"/>
      <c r="L80" s="5"/>
      <c r="M80" s="11"/>
    </row>
    <row r="81" spans="1:13" x14ac:dyDescent="0.3">
      <c r="A81" s="1" t="s">
        <v>342</v>
      </c>
      <c r="B81" s="1" t="s">
        <v>338</v>
      </c>
      <c r="C81" s="1" t="s">
        <v>339</v>
      </c>
      <c r="D81" s="1" t="s">
        <v>456</v>
      </c>
      <c r="E81" s="19">
        <v>45292.000752314816</v>
      </c>
      <c r="F81" s="1" t="s">
        <v>525</v>
      </c>
      <c r="G81" s="1" t="s">
        <v>480</v>
      </c>
      <c r="H81" s="4"/>
      <c r="I81" s="4">
        <v>1625</v>
      </c>
      <c r="J81" s="4"/>
      <c r="K81" s="5"/>
      <c r="L81" s="5"/>
      <c r="M81" s="11"/>
    </row>
    <row r="82" spans="1:13" x14ac:dyDescent="0.3">
      <c r="A82" s="1" t="s">
        <v>70</v>
      </c>
      <c r="B82" s="1" t="s">
        <v>82</v>
      </c>
      <c r="C82" s="1" t="s">
        <v>2</v>
      </c>
      <c r="D82" s="1" t="s">
        <v>456</v>
      </c>
      <c r="E82" s="19">
        <v>45292.000740740739</v>
      </c>
      <c r="F82" s="1" t="s">
        <v>525</v>
      </c>
      <c r="G82" s="1" t="s">
        <v>480</v>
      </c>
      <c r="H82" s="4"/>
      <c r="I82" s="4">
        <v>2620</v>
      </c>
      <c r="J82" s="4"/>
      <c r="K82" s="5"/>
      <c r="L82" s="5"/>
      <c r="M82" s="11"/>
    </row>
    <row r="83" spans="1:13" x14ac:dyDescent="0.3">
      <c r="A83" s="1" t="s">
        <v>571</v>
      </c>
      <c r="B83" s="1" t="s">
        <v>572</v>
      </c>
      <c r="C83" s="1" t="s">
        <v>5</v>
      </c>
      <c r="D83" s="1" t="s">
        <v>456</v>
      </c>
      <c r="E83" s="19">
        <v>45292.00072916667</v>
      </c>
      <c r="F83" s="1" t="s">
        <v>525</v>
      </c>
      <c r="G83" s="1" t="s">
        <v>480</v>
      </c>
      <c r="H83" s="4"/>
      <c r="I83" s="4">
        <v>1661</v>
      </c>
      <c r="J83" s="4"/>
      <c r="K83" s="5"/>
      <c r="L83" s="5"/>
      <c r="M83" s="11"/>
    </row>
    <row r="84" spans="1:13" x14ac:dyDescent="0.3">
      <c r="A84" s="1" t="s">
        <v>73</v>
      </c>
      <c r="B84" s="1" t="s">
        <v>19</v>
      </c>
      <c r="C84" s="1" t="s">
        <v>3</v>
      </c>
      <c r="D84" s="1" t="s">
        <v>456</v>
      </c>
      <c r="E84" s="19">
        <v>45292.000717592593</v>
      </c>
      <c r="F84" s="1" t="s">
        <v>525</v>
      </c>
      <c r="G84" s="1" t="s">
        <v>480</v>
      </c>
      <c r="H84" s="4"/>
      <c r="I84" s="4">
        <v>1645</v>
      </c>
      <c r="J84" s="4"/>
      <c r="K84" s="5"/>
      <c r="L84" s="5"/>
      <c r="M84" s="11"/>
    </row>
    <row r="85" spans="1:13" x14ac:dyDescent="0.3">
      <c r="A85" s="1" t="s">
        <v>90</v>
      </c>
      <c r="B85" s="1" t="s">
        <v>15</v>
      </c>
      <c r="C85" s="1" t="s">
        <v>2</v>
      </c>
      <c r="D85" s="1" t="s">
        <v>456</v>
      </c>
      <c r="E85" s="19">
        <v>45292.000706018516</v>
      </c>
      <c r="F85" s="1" t="s">
        <v>525</v>
      </c>
      <c r="G85" s="1" t="s">
        <v>480</v>
      </c>
      <c r="H85" s="4">
        <v>1</v>
      </c>
      <c r="I85" s="4">
        <v>2464</v>
      </c>
      <c r="J85" s="4"/>
      <c r="K85" s="5" t="s">
        <v>288</v>
      </c>
      <c r="L85" s="5" t="s">
        <v>310</v>
      </c>
      <c r="M85" s="11">
        <v>2000</v>
      </c>
    </row>
    <row r="86" spans="1:13" x14ac:dyDescent="0.3">
      <c r="A86" s="1" t="s">
        <v>434</v>
      </c>
      <c r="B86" s="1" t="s">
        <v>435</v>
      </c>
      <c r="C86" s="1" t="s">
        <v>2</v>
      </c>
      <c r="D86" s="1" t="s">
        <v>456</v>
      </c>
      <c r="E86" s="19">
        <v>45093.54042824074</v>
      </c>
      <c r="F86" s="1" t="s">
        <v>529</v>
      </c>
      <c r="G86" s="1" t="s">
        <v>480</v>
      </c>
      <c r="H86" s="4"/>
      <c r="I86" s="4">
        <v>1139</v>
      </c>
      <c r="J86" s="4"/>
      <c r="K86" s="5"/>
      <c r="L86" s="5"/>
      <c r="M86" s="11"/>
    </row>
    <row r="87" spans="1:13" x14ac:dyDescent="0.3">
      <c r="A87" s="1" t="s">
        <v>432</v>
      </c>
      <c r="B87" s="1" t="s">
        <v>433</v>
      </c>
      <c r="C87" s="1" t="s">
        <v>2</v>
      </c>
      <c r="D87" s="1" t="s">
        <v>456</v>
      </c>
      <c r="E87" s="19">
        <v>45093.535370370373</v>
      </c>
      <c r="F87" s="1" t="s">
        <v>529</v>
      </c>
      <c r="G87" s="1" t="s">
        <v>480</v>
      </c>
      <c r="H87" s="4"/>
      <c r="I87" s="4">
        <v>1151</v>
      </c>
      <c r="J87" s="4"/>
      <c r="K87" s="5"/>
      <c r="L87" s="5"/>
      <c r="M87" s="11"/>
    </row>
    <row r="88" spans="1:13" x14ac:dyDescent="0.3">
      <c r="A88" s="1" t="s">
        <v>430</v>
      </c>
      <c r="B88" s="1" t="s">
        <v>431</v>
      </c>
      <c r="C88" s="1" t="s">
        <v>0</v>
      </c>
      <c r="D88" s="1" t="s">
        <v>456</v>
      </c>
      <c r="E88" s="19">
        <v>45092.913078703707</v>
      </c>
      <c r="F88" s="1" t="s">
        <v>530</v>
      </c>
      <c r="G88" s="1" t="s">
        <v>480</v>
      </c>
      <c r="H88" s="4"/>
      <c r="I88" s="4">
        <v>1748</v>
      </c>
      <c r="J88" s="4"/>
      <c r="K88" s="5"/>
      <c r="L88" s="5"/>
      <c r="M88" s="11"/>
    </row>
    <row r="89" spans="1:13" x14ac:dyDescent="0.3">
      <c r="A89" s="1" t="s">
        <v>428</v>
      </c>
      <c r="B89" s="1" t="s">
        <v>429</v>
      </c>
      <c r="C89" s="1" t="s">
        <v>2</v>
      </c>
      <c r="D89" s="1" t="s">
        <v>456</v>
      </c>
      <c r="E89" s="19">
        <v>45091.96539351852</v>
      </c>
      <c r="F89" s="1" t="s">
        <v>530</v>
      </c>
      <c r="G89" s="1" t="s">
        <v>480</v>
      </c>
      <c r="H89" s="4"/>
      <c r="I89" s="4">
        <v>855</v>
      </c>
      <c r="J89" s="4"/>
      <c r="K89" s="5"/>
      <c r="L89" s="5"/>
      <c r="M89" s="11"/>
    </row>
    <row r="90" spans="1:13" x14ac:dyDescent="0.3">
      <c r="A90" s="1" t="s">
        <v>126</v>
      </c>
      <c r="B90" s="1" t="s">
        <v>214</v>
      </c>
      <c r="C90" s="1" t="s">
        <v>5</v>
      </c>
      <c r="D90" s="1" t="s">
        <v>456</v>
      </c>
      <c r="E90" s="19">
        <v>45090.708715277775</v>
      </c>
      <c r="F90" s="1" t="s">
        <v>530</v>
      </c>
      <c r="G90" s="1" t="s">
        <v>480</v>
      </c>
      <c r="H90" s="4"/>
      <c r="I90" s="4">
        <v>2091</v>
      </c>
      <c r="J90" s="4"/>
      <c r="K90" s="5"/>
      <c r="L90" s="5"/>
      <c r="M90" s="11"/>
    </row>
    <row r="91" spans="1:13" x14ac:dyDescent="0.3">
      <c r="A91" s="1" t="s">
        <v>426</v>
      </c>
      <c r="B91" s="1" t="s">
        <v>427</v>
      </c>
      <c r="C91" s="1" t="s">
        <v>2</v>
      </c>
      <c r="D91" s="1" t="s">
        <v>456</v>
      </c>
      <c r="E91" s="19">
        <v>45090.587511574071</v>
      </c>
      <c r="F91" s="1" t="s">
        <v>529</v>
      </c>
      <c r="G91" s="1" t="s">
        <v>480</v>
      </c>
      <c r="H91" s="4"/>
      <c r="I91" s="4">
        <v>1418</v>
      </c>
      <c r="J91" s="4"/>
      <c r="K91" s="5"/>
      <c r="L91" s="5"/>
      <c r="M91" s="11"/>
    </row>
    <row r="92" spans="1:13" x14ac:dyDescent="0.3">
      <c r="A92" s="1" t="s">
        <v>424</v>
      </c>
      <c r="B92" s="1" t="s">
        <v>425</v>
      </c>
      <c r="C92" s="1" t="s">
        <v>2</v>
      </c>
      <c r="D92" s="1" t="s">
        <v>456</v>
      </c>
      <c r="E92" s="19">
        <v>45090.337210648147</v>
      </c>
      <c r="F92" s="1" t="s">
        <v>530</v>
      </c>
      <c r="G92" s="1" t="s">
        <v>480</v>
      </c>
      <c r="H92" s="4"/>
      <c r="I92" s="4"/>
      <c r="J92" s="4"/>
      <c r="K92" s="5"/>
      <c r="L92" s="5"/>
      <c r="M92" s="11"/>
    </row>
    <row r="93" spans="1:13" x14ac:dyDescent="0.3">
      <c r="A93" s="1" t="s">
        <v>422</v>
      </c>
      <c r="B93" s="1" t="s">
        <v>423</v>
      </c>
      <c r="C93" s="1" t="s">
        <v>5</v>
      </c>
      <c r="D93" s="1" t="s">
        <v>456</v>
      </c>
      <c r="E93" s="19">
        <v>45088.836296296293</v>
      </c>
      <c r="F93" s="1" t="s">
        <v>530</v>
      </c>
      <c r="G93" s="1" t="s">
        <v>480</v>
      </c>
      <c r="H93" s="4"/>
      <c r="I93" s="4"/>
      <c r="J93" s="4"/>
      <c r="K93" s="5"/>
      <c r="L93" s="5"/>
      <c r="M93" s="11"/>
    </row>
    <row r="94" spans="1:13" x14ac:dyDescent="0.3">
      <c r="A94" s="1" t="s">
        <v>187</v>
      </c>
      <c r="B94" s="1" t="s">
        <v>188</v>
      </c>
      <c r="C94" s="1" t="s">
        <v>5</v>
      </c>
      <c r="D94" s="1" t="s">
        <v>456</v>
      </c>
      <c r="E94" s="19">
        <v>45087.27579861111</v>
      </c>
      <c r="F94" s="1" t="s">
        <v>530</v>
      </c>
      <c r="G94" s="1" t="s">
        <v>480</v>
      </c>
      <c r="H94" s="4"/>
      <c r="I94" s="4">
        <v>1819</v>
      </c>
      <c r="J94" s="4"/>
      <c r="K94" s="5"/>
      <c r="L94" s="5"/>
      <c r="M94" s="11"/>
    </row>
    <row r="95" spans="1:13" x14ac:dyDescent="0.3">
      <c r="A95" s="1" t="s">
        <v>287</v>
      </c>
      <c r="B95" s="1" t="s">
        <v>218</v>
      </c>
      <c r="C95" s="1" t="s">
        <v>5</v>
      </c>
      <c r="D95" s="1" t="s">
        <v>456</v>
      </c>
      <c r="E95" s="19">
        <v>45087.025127314817</v>
      </c>
      <c r="F95" s="1" t="s">
        <v>530</v>
      </c>
      <c r="G95" s="1" t="s">
        <v>480</v>
      </c>
      <c r="H95" s="4"/>
      <c r="I95" s="4">
        <v>2048</v>
      </c>
      <c r="J95" s="4"/>
      <c r="K95" s="5"/>
      <c r="L95" s="5"/>
      <c r="M95" s="11"/>
    </row>
    <row r="96" spans="1:13" x14ac:dyDescent="0.3">
      <c r="A96" s="1" t="s">
        <v>420</v>
      </c>
      <c r="B96" s="1" t="s">
        <v>421</v>
      </c>
      <c r="C96" s="1" t="s">
        <v>32</v>
      </c>
      <c r="D96" s="1" t="s">
        <v>456</v>
      </c>
      <c r="E96" s="19">
        <v>45086.985578703701</v>
      </c>
      <c r="F96" s="1" t="s">
        <v>530</v>
      </c>
      <c r="G96" s="1" t="s">
        <v>480</v>
      </c>
      <c r="H96" s="4"/>
      <c r="I96" s="4">
        <v>2161</v>
      </c>
      <c r="J96" s="4"/>
      <c r="K96" s="5"/>
      <c r="L96" s="5"/>
      <c r="M96" s="11"/>
    </row>
    <row r="97" spans="1:13" x14ac:dyDescent="0.3">
      <c r="A97" s="1" t="s">
        <v>418</v>
      </c>
      <c r="B97" s="1" t="s">
        <v>419</v>
      </c>
      <c r="C97" s="1" t="s">
        <v>5</v>
      </c>
      <c r="D97" s="1" t="s">
        <v>456</v>
      </c>
      <c r="E97" s="19">
        <v>45086.939108796294</v>
      </c>
      <c r="F97" s="1" t="s">
        <v>530</v>
      </c>
      <c r="G97" s="1" t="s">
        <v>480</v>
      </c>
      <c r="H97" s="4"/>
      <c r="I97" s="4"/>
      <c r="J97" s="4"/>
      <c r="K97" s="5"/>
      <c r="L97" s="5"/>
      <c r="M97" s="11"/>
    </row>
    <row r="98" spans="1:13" x14ac:dyDescent="0.3">
      <c r="A98" s="1" t="s">
        <v>61</v>
      </c>
      <c r="B98" s="1" t="s">
        <v>18</v>
      </c>
      <c r="C98" s="1" t="s">
        <v>8</v>
      </c>
      <c r="D98" s="1" t="s">
        <v>456</v>
      </c>
      <c r="E98" s="19">
        <v>45086.521747685183</v>
      </c>
      <c r="F98" s="1" t="s">
        <v>529</v>
      </c>
      <c r="G98" s="1" t="s">
        <v>480</v>
      </c>
      <c r="H98" s="4"/>
      <c r="I98" s="4">
        <v>2433</v>
      </c>
      <c r="J98" s="4"/>
      <c r="K98" s="5"/>
      <c r="L98" s="5"/>
      <c r="M98" s="11"/>
    </row>
    <row r="99" spans="1:13" x14ac:dyDescent="0.3">
      <c r="A99" s="1" t="s">
        <v>61</v>
      </c>
      <c r="B99" s="1" t="s">
        <v>18</v>
      </c>
      <c r="C99" s="1" t="s">
        <v>8</v>
      </c>
      <c r="D99" s="1" t="s">
        <v>456</v>
      </c>
      <c r="E99" s="19">
        <v>45086.521747685183</v>
      </c>
      <c r="F99" s="1" t="s">
        <v>530</v>
      </c>
      <c r="G99" s="1" t="s">
        <v>480</v>
      </c>
      <c r="H99" s="4"/>
      <c r="I99" s="4">
        <v>2433</v>
      </c>
      <c r="J99" s="4"/>
      <c r="K99" s="5" t="s">
        <v>288</v>
      </c>
      <c r="L99" s="5" t="s">
        <v>312</v>
      </c>
      <c r="M99" s="11">
        <v>1500</v>
      </c>
    </row>
    <row r="100" spans="1:13" x14ac:dyDescent="0.3">
      <c r="A100" s="1" t="s">
        <v>101</v>
      </c>
      <c r="B100" s="1" t="s">
        <v>231</v>
      </c>
      <c r="C100" s="1" t="s">
        <v>102</v>
      </c>
      <c r="D100" s="1" t="s">
        <v>456</v>
      </c>
      <c r="E100" s="19">
        <v>45086.406192129631</v>
      </c>
      <c r="F100" s="1" t="s">
        <v>530</v>
      </c>
      <c r="G100" s="1" t="s">
        <v>480</v>
      </c>
      <c r="H100" s="4"/>
      <c r="I100" s="4">
        <v>2365</v>
      </c>
      <c r="J100" s="4"/>
      <c r="K100" s="5"/>
      <c r="L100" s="5"/>
      <c r="M100" s="11"/>
    </row>
    <row r="101" spans="1:13" x14ac:dyDescent="0.3">
      <c r="A101" s="1" t="s">
        <v>127</v>
      </c>
      <c r="B101" s="1" t="s">
        <v>247</v>
      </c>
      <c r="C101" s="1" t="s">
        <v>1</v>
      </c>
      <c r="D101" s="1" t="s">
        <v>456</v>
      </c>
      <c r="E101" s="19">
        <v>45086.291539351849</v>
      </c>
      <c r="F101" s="1" t="s">
        <v>530</v>
      </c>
      <c r="G101" s="1" t="s">
        <v>480</v>
      </c>
      <c r="H101" s="4"/>
      <c r="I101" s="4">
        <v>2034</v>
      </c>
      <c r="J101" s="4"/>
      <c r="K101" s="5"/>
      <c r="L101" s="5"/>
      <c r="M101" s="11"/>
    </row>
    <row r="102" spans="1:13" x14ac:dyDescent="0.3">
      <c r="A102" s="1" t="s">
        <v>94</v>
      </c>
      <c r="B102" s="1" t="s">
        <v>97</v>
      </c>
      <c r="C102" s="1" t="s">
        <v>5</v>
      </c>
      <c r="D102" s="1" t="s">
        <v>456</v>
      </c>
      <c r="E102" s="19">
        <v>45085.917546296296</v>
      </c>
      <c r="F102" s="1" t="s">
        <v>530</v>
      </c>
      <c r="G102" s="1" t="s">
        <v>480</v>
      </c>
      <c r="H102" s="4"/>
      <c r="I102" s="4">
        <v>1565</v>
      </c>
      <c r="J102" s="4"/>
      <c r="K102" s="5"/>
      <c r="L102" s="5"/>
      <c r="M102" s="11"/>
    </row>
    <row r="103" spans="1:13" x14ac:dyDescent="0.3">
      <c r="A103" s="1" t="s">
        <v>264</v>
      </c>
      <c r="B103" s="1" t="s">
        <v>265</v>
      </c>
      <c r="C103" s="1" t="s">
        <v>5</v>
      </c>
      <c r="D103" s="1" t="s">
        <v>456</v>
      </c>
      <c r="E103" s="19">
        <v>45085.908159722225</v>
      </c>
      <c r="F103" s="1" t="s">
        <v>530</v>
      </c>
      <c r="G103" s="1" t="s">
        <v>480</v>
      </c>
      <c r="H103" s="4"/>
      <c r="I103" s="4">
        <v>1207</v>
      </c>
      <c r="J103" s="4"/>
      <c r="K103" s="5"/>
      <c r="L103" s="5"/>
      <c r="M103" s="11"/>
    </row>
    <row r="104" spans="1:13" x14ac:dyDescent="0.3">
      <c r="A104" s="1" t="s">
        <v>212</v>
      </c>
      <c r="B104" s="1" t="s">
        <v>213</v>
      </c>
      <c r="C104" s="1" t="s">
        <v>5</v>
      </c>
      <c r="D104" s="1" t="s">
        <v>456</v>
      </c>
      <c r="E104" s="19">
        <v>45085.850775462961</v>
      </c>
      <c r="F104" s="1" t="s">
        <v>529</v>
      </c>
      <c r="G104" s="1" t="s">
        <v>480</v>
      </c>
      <c r="H104" s="4"/>
      <c r="I104" s="4">
        <v>1877</v>
      </c>
      <c r="J104" s="4"/>
      <c r="K104" s="5"/>
      <c r="L104" s="5"/>
      <c r="M104" s="11"/>
    </row>
    <row r="105" spans="1:13" x14ac:dyDescent="0.3">
      <c r="A105" s="1" t="s">
        <v>417</v>
      </c>
      <c r="B105" s="1" t="s">
        <v>416</v>
      </c>
      <c r="C105" s="1" t="s">
        <v>5</v>
      </c>
      <c r="D105" s="1" t="s">
        <v>456</v>
      </c>
      <c r="E105" s="19">
        <v>45085.741527777776</v>
      </c>
      <c r="F105" s="1" t="s">
        <v>530</v>
      </c>
      <c r="G105" s="1" t="s">
        <v>480</v>
      </c>
      <c r="H105" s="4"/>
      <c r="I105" s="4"/>
      <c r="J105" s="4"/>
      <c r="K105" s="5"/>
      <c r="L105" s="5"/>
      <c r="M105" s="11"/>
    </row>
    <row r="106" spans="1:13" x14ac:dyDescent="0.3">
      <c r="A106" s="1" t="s">
        <v>414</v>
      </c>
      <c r="B106" s="1" t="s">
        <v>415</v>
      </c>
      <c r="C106" s="1" t="s">
        <v>5</v>
      </c>
      <c r="D106" s="1" t="s">
        <v>456</v>
      </c>
      <c r="E106" s="19">
        <v>45085.402627314812</v>
      </c>
      <c r="F106" s="1" t="s">
        <v>530</v>
      </c>
      <c r="G106" s="1" t="s">
        <v>480</v>
      </c>
      <c r="H106" s="4"/>
      <c r="I106" s="4">
        <v>1088</v>
      </c>
      <c r="J106" s="4"/>
      <c r="K106" s="5"/>
      <c r="L106" s="5"/>
      <c r="M106" s="11"/>
    </row>
    <row r="107" spans="1:13" x14ac:dyDescent="0.3">
      <c r="A107" s="1" t="s">
        <v>257</v>
      </c>
      <c r="B107" s="1" t="s">
        <v>258</v>
      </c>
      <c r="C107" s="1" t="s">
        <v>2</v>
      </c>
      <c r="D107" s="1" t="s">
        <v>456</v>
      </c>
      <c r="E107" s="19">
        <v>45084.955555555556</v>
      </c>
      <c r="F107" s="1" t="s">
        <v>530</v>
      </c>
      <c r="G107" s="1" t="s">
        <v>480</v>
      </c>
      <c r="H107" s="4"/>
      <c r="I107" s="4">
        <v>1226</v>
      </c>
      <c r="J107" s="4"/>
      <c r="K107" s="5"/>
      <c r="L107" s="5"/>
      <c r="M107" s="11"/>
    </row>
    <row r="108" spans="1:13" x14ac:dyDescent="0.3">
      <c r="A108" s="1" t="s">
        <v>413</v>
      </c>
      <c r="B108" s="1" t="s">
        <v>412</v>
      </c>
      <c r="C108" s="1" t="s">
        <v>55</v>
      </c>
      <c r="D108" s="1" t="s">
        <v>456</v>
      </c>
      <c r="E108" s="19">
        <v>45083.87222222222</v>
      </c>
      <c r="F108" s="1" t="s">
        <v>529</v>
      </c>
      <c r="G108" s="1" t="s">
        <v>480</v>
      </c>
      <c r="H108" s="4"/>
      <c r="I108" s="4"/>
      <c r="J108" s="4"/>
      <c r="K108" s="5"/>
      <c r="L108" s="5"/>
      <c r="M108" s="11"/>
    </row>
    <row r="109" spans="1:13" x14ac:dyDescent="0.3">
      <c r="A109" s="1" t="s">
        <v>202</v>
      </c>
      <c r="B109" s="1" t="s">
        <v>203</v>
      </c>
      <c r="C109" s="1" t="s">
        <v>175</v>
      </c>
      <c r="D109" s="1" t="s">
        <v>456</v>
      </c>
      <c r="E109" s="19">
        <v>45083.807939814818</v>
      </c>
      <c r="F109" s="1" t="s">
        <v>529</v>
      </c>
      <c r="G109" s="1" t="s">
        <v>480</v>
      </c>
      <c r="H109" s="4"/>
      <c r="I109" s="4">
        <v>1795</v>
      </c>
      <c r="J109" s="4"/>
      <c r="K109" s="5"/>
      <c r="L109" s="5"/>
      <c r="M109" s="11"/>
    </row>
    <row r="110" spans="1:13" x14ac:dyDescent="0.3">
      <c r="A110" s="1" t="s">
        <v>202</v>
      </c>
      <c r="B110" s="1" t="s">
        <v>203</v>
      </c>
      <c r="C110" s="1" t="s">
        <v>175</v>
      </c>
      <c r="D110" s="1" t="s">
        <v>456</v>
      </c>
      <c r="E110" s="19">
        <v>45083.807939814818</v>
      </c>
      <c r="F110" s="1" t="s">
        <v>530</v>
      </c>
      <c r="G110" s="1" t="s">
        <v>480</v>
      </c>
      <c r="H110" s="4"/>
      <c r="I110" s="4">
        <v>1795</v>
      </c>
      <c r="J110" s="4"/>
      <c r="K110" s="5"/>
      <c r="L110" s="5"/>
      <c r="M110" s="11"/>
    </row>
    <row r="111" spans="1:13" x14ac:dyDescent="0.3">
      <c r="A111" s="1" t="s">
        <v>410</v>
      </c>
      <c r="B111" s="1" t="s">
        <v>411</v>
      </c>
      <c r="C111" s="1" t="s">
        <v>401</v>
      </c>
      <c r="D111" s="1" t="s">
        <v>456</v>
      </c>
      <c r="E111" s="19">
        <v>45081.872337962966</v>
      </c>
      <c r="F111" s="1" t="s">
        <v>530</v>
      </c>
      <c r="G111" s="1" t="s">
        <v>480</v>
      </c>
      <c r="H111" s="4"/>
      <c r="I111" s="4"/>
      <c r="J111" s="4"/>
      <c r="K111" s="5"/>
      <c r="L111" s="5"/>
      <c r="M111" s="11"/>
    </row>
    <row r="112" spans="1:13" x14ac:dyDescent="0.3">
      <c r="A112" s="1" t="s">
        <v>408</v>
      </c>
      <c r="B112" s="1" t="s">
        <v>409</v>
      </c>
      <c r="C112" s="1" t="s">
        <v>401</v>
      </c>
      <c r="D112" s="1" t="s">
        <v>456</v>
      </c>
      <c r="E112" s="19">
        <v>45081.871053240742</v>
      </c>
      <c r="F112" s="1" t="s">
        <v>530</v>
      </c>
      <c r="G112" s="1" t="s">
        <v>480</v>
      </c>
      <c r="H112" s="4"/>
      <c r="I112" s="4"/>
      <c r="J112" s="4"/>
      <c r="K112" s="5"/>
      <c r="L112" s="5"/>
      <c r="M112" s="11"/>
    </row>
    <row r="113" spans="1:13" x14ac:dyDescent="0.3">
      <c r="A113" s="1" t="s">
        <v>406</v>
      </c>
      <c r="B113" s="1" t="s">
        <v>407</v>
      </c>
      <c r="C113" s="1" t="s">
        <v>401</v>
      </c>
      <c r="D113" s="1" t="s">
        <v>456</v>
      </c>
      <c r="E113" s="19">
        <v>45081.869143518517</v>
      </c>
      <c r="F113" s="1" t="s">
        <v>530</v>
      </c>
      <c r="G113" s="1" t="s">
        <v>480</v>
      </c>
      <c r="H113" s="4"/>
      <c r="I113" s="4">
        <v>1928</v>
      </c>
      <c r="J113" s="4"/>
      <c r="K113" s="5"/>
      <c r="L113" s="5"/>
      <c r="M113" s="11"/>
    </row>
    <row r="114" spans="1:13" x14ac:dyDescent="0.3">
      <c r="A114" s="1" t="s">
        <v>404</v>
      </c>
      <c r="B114" s="1" t="s">
        <v>405</v>
      </c>
      <c r="C114" s="1" t="s">
        <v>401</v>
      </c>
      <c r="D114" s="1" t="s">
        <v>456</v>
      </c>
      <c r="E114" s="19">
        <v>45081.865254629629</v>
      </c>
      <c r="F114" s="1" t="s">
        <v>530</v>
      </c>
      <c r="G114" s="1" t="s">
        <v>480</v>
      </c>
      <c r="H114" s="4"/>
      <c r="I114" s="4"/>
      <c r="J114" s="4"/>
      <c r="K114" s="5"/>
      <c r="L114" s="5"/>
      <c r="M114" s="11"/>
    </row>
    <row r="115" spans="1:13" x14ac:dyDescent="0.3">
      <c r="A115" s="1" t="s">
        <v>399</v>
      </c>
      <c r="B115" s="1" t="s">
        <v>400</v>
      </c>
      <c r="C115" s="1" t="s">
        <v>226</v>
      </c>
      <c r="D115" s="1" t="s">
        <v>456</v>
      </c>
      <c r="E115" s="19">
        <v>45079.378657407404</v>
      </c>
      <c r="F115" s="1" t="s">
        <v>529</v>
      </c>
      <c r="G115" s="1" t="s">
        <v>480</v>
      </c>
      <c r="H115" s="4"/>
      <c r="I115" s="4">
        <v>2048</v>
      </c>
      <c r="J115" s="4"/>
      <c r="K115" s="5"/>
      <c r="L115" s="5"/>
      <c r="M115" s="11"/>
    </row>
    <row r="116" spans="1:13" x14ac:dyDescent="0.3">
      <c r="A116" s="1" t="s">
        <v>399</v>
      </c>
      <c r="B116" s="1" t="s">
        <v>400</v>
      </c>
      <c r="C116" s="1" t="s">
        <v>226</v>
      </c>
      <c r="D116" s="1" t="s">
        <v>456</v>
      </c>
      <c r="E116" s="19">
        <v>45079.378657407404</v>
      </c>
      <c r="F116" s="1" t="s">
        <v>530</v>
      </c>
      <c r="G116" s="1" t="s">
        <v>480</v>
      </c>
      <c r="H116" s="4"/>
      <c r="I116" s="4">
        <v>2048</v>
      </c>
      <c r="J116" s="4"/>
      <c r="K116" s="5"/>
      <c r="L116" s="5"/>
      <c r="M116" s="11"/>
    </row>
    <row r="117" spans="1:13" x14ac:dyDescent="0.3">
      <c r="A117" s="1" t="s">
        <v>200</v>
      </c>
      <c r="B117" s="1" t="s">
        <v>201</v>
      </c>
      <c r="C117" s="1" t="s">
        <v>175</v>
      </c>
      <c r="D117" s="1" t="s">
        <v>456</v>
      </c>
      <c r="E117" s="19">
        <v>45079.378275462965</v>
      </c>
      <c r="F117" s="1" t="s">
        <v>529</v>
      </c>
      <c r="G117" s="1" t="s">
        <v>480</v>
      </c>
      <c r="H117" s="4"/>
      <c r="I117" s="4">
        <v>1784</v>
      </c>
      <c r="J117" s="4"/>
      <c r="K117" s="5"/>
      <c r="L117" s="5"/>
      <c r="M117" s="11"/>
    </row>
    <row r="118" spans="1:13" x14ac:dyDescent="0.3">
      <c r="A118" s="1" t="s">
        <v>200</v>
      </c>
      <c r="B118" s="1" t="s">
        <v>201</v>
      </c>
      <c r="C118" s="1" t="s">
        <v>175</v>
      </c>
      <c r="D118" s="1" t="s">
        <v>456</v>
      </c>
      <c r="E118" s="19">
        <v>45079.378275462965</v>
      </c>
      <c r="F118" s="1" t="s">
        <v>530</v>
      </c>
      <c r="G118" s="1" t="s">
        <v>480</v>
      </c>
      <c r="H118" s="4"/>
      <c r="I118" s="4">
        <v>1784</v>
      </c>
      <c r="J118" s="4"/>
      <c r="K118" s="5"/>
      <c r="L118" s="5"/>
      <c r="M118" s="11"/>
    </row>
    <row r="119" spans="1:13" x14ac:dyDescent="0.3">
      <c r="A119" s="1" t="s">
        <v>234</v>
      </c>
      <c r="B119" s="1" t="s">
        <v>235</v>
      </c>
      <c r="C119" s="1" t="s">
        <v>236</v>
      </c>
      <c r="D119" s="1" t="s">
        <v>456</v>
      </c>
      <c r="E119" s="19">
        <v>45078.826504629629</v>
      </c>
      <c r="F119" s="1" t="s">
        <v>530</v>
      </c>
      <c r="G119" s="1" t="s">
        <v>480</v>
      </c>
      <c r="H119" s="4"/>
      <c r="I119" s="4">
        <v>1794</v>
      </c>
      <c r="J119" s="4"/>
      <c r="K119" s="5"/>
      <c r="L119" s="5"/>
      <c r="M119" s="11"/>
    </row>
    <row r="120" spans="1:13" x14ac:dyDescent="0.3">
      <c r="A120" s="1" t="s">
        <v>397</v>
      </c>
      <c r="B120" s="1" t="s">
        <v>398</v>
      </c>
      <c r="C120" s="1" t="s">
        <v>2</v>
      </c>
      <c r="D120" s="1" t="s">
        <v>456</v>
      </c>
      <c r="E120" s="19">
        <v>45078.364988425928</v>
      </c>
      <c r="F120" s="1" t="s">
        <v>529</v>
      </c>
      <c r="G120" s="1" t="s">
        <v>480</v>
      </c>
      <c r="H120" s="4"/>
      <c r="I120" s="4">
        <v>2140</v>
      </c>
      <c r="J120" s="4"/>
      <c r="K120" s="5"/>
      <c r="L120" s="5"/>
      <c r="M120" s="11"/>
    </row>
    <row r="121" spans="1:13" x14ac:dyDescent="0.3">
      <c r="A121" s="1" t="s">
        <v>397</v>
      </c>
      <c r="B121" s="1" t="s">
        <v>398</v>
      </c>
      <c r="C121" s="1" t="s">
        <v>2</v>
      </c>
      <c r="D121" s="1" t="s">
        <v>456</v>
      </c>
      <c r="E121" s="19">
        <v>45078.364988425928</v>
      </c>
      <c r="F121" s="1" t="s">
        <v>530</v>
      </c>
      <c r="G121" s="1" t="s">
        <v>480</v>
      </c>
      <c r="H121" s="4"/>
      <c r="I121" s="4">
        <v>2140</v>
      </c>
      <c r="J121" s="4"/>
      <c r="K121" s="5"/>
      <c r="L121" s="5"/>
      <c r="M121" s="11"/>
    </row>
    <row r="122" spans="1:13" x14ac:dyDescent="0.3">
      <c r="A122" s="1" t="s">
        <v>395</v>
      </c>
      <c r="B122" s="1" t="s">
        <v>396</v>
      </c>
      <c r="C122" s="1" t="s">
        <v>2</v>
      </c>
      <c r="D122" s="1" t="s">
        <v>456</v>
      </c>
      <c r="E122" s="19">
        <v>45078.354560185187</v>
      </c>
      <c r="F122" s="1" t="s">
        <v>530</v>
      </c>
      <c r="G122" s="1" t="s">
        <v>480</v>
      </c>
      <c r="H122" s="4"/>
      <c r="I122" s="4">
        <v>1369</v>
      </c>
      <c r="J122" s="4"/>
      <c r="K122" s="5"/>
      <c r="L122" s="5"/>
      <c r="M122" s="11"/>
    </row>
    <row r="123" spans="1:13" x14ac:dyDescent="0.3">
      <c r="A123" s="1" t="s">
        <v>180</v>
      </c>
      <c r="B123" s="1" t="s">
        <v>182</v>
      </c>
      <c r="C123" s="1" t="s">
        <v>181</v>
      </c>
      <c r="D123" s="1" t="s">
        <v>456</v>
      </c>
      <c r="E123" s="19">
        <v>45076.98704861111</v>
      </c>
      <c r="F123" s="1" t="s">
        <v>530</v>
      </c>
      <c r="G123" s="1" t="s">
        <v>480</v>
      </c>
      <c r="H123" s="4"/>
      <c r="I123" s="4">
        <v>1518</v>
      </c>
      <c r="J123" s="4"/>
      <c r="K123" s="5"/>
      <c r="L123" s="5"/>
      <c r="M123" s="11"/>
    </row>
    <row r="124" spans="1:13" x14ac:dyDescent="0.3">
      <c r="A124" s="1" t="s">
        <v>393</v>
      </c>
      <c r="B124" s="1" t="s">
        <v>394</v>
      </c>
      <c r="C124" s="1" t="s">
        <v>1</v>
      </c>
      <c r="D124" s="1" t="s">
        <v>456</v>
      </c>
      <c r="E124" s="19">
        <v>45076.735439814816</v>
      </c>
      <c r="F124" s="1" t="s">
        <v>530</v>
      </c>
      <c r="G124" s="1" t="s">
        <v>482</v>
      </c>
      <c r="H124" s="4"/>
      <c r="I124" s="4">
        <v>2253</v>
      </c>
      <c r="J124" s="4"/>
      <c r="K124" s="5"/>
      <c r="L124" s="5"/>
      <c r="M124" s="11"/>
    </row>
    <row r="125" spans="1:13" x14ac:dyDescent="0.3">
      <c r="A125" s="1" t="s">
        <v>391</v>
      </c>
      <c r="B125" s="1" t="s">
        <v>392</v>
      </c>
      <c r="C125" s="1" t="s">
        <v>2</v>
      </c>
      <c r="D125" s="1" t="s">
        <v>456</v>
      </c>
      <c r="E125" s="19">
        <v>45073.846250000002</v>
      </c>
      <c r="F125" s="1" t="s">
        <v>530</v>
      </c>
      <c r="G125" s="1" t="s">
        <v>480</v>
      </c>
      <c r="H125" s="4"/>
      <c r="I125" s="4"/>
      <c r="J125" s="4"/>
      <c r="K125" s="5"/>
      <c r="L125" s="5"/>
      <c r="M125" s="11"/>
    </row>
    <row r="126" spans="1:13" x14ac:dyDescent="0.3">
      <c r="A126" s="1" t="s">
        <v>388</v>
      </c>
      <c r="B126" s="1" t="s">
        <v>389</v>
      </c>
      <c r="C126" s="1" t="s">
        <v>32</v>
      </c>
      <c r="D126" s="1" t="s">
        <v>456</v>
      </c>
      <c r="E126" s="19">
        <v>45070.793541666666</v>
      </c>
      <c r="F126" s="1" t="s">
        <v>530</v>
      </c>
      <c r="G126" s="1" t="s">
        <v>480</v>
      </c>
      <c r="H126" s="4"/>
      <c r="I126" s="4"/>
      <c r="J126" s="4"/>
      <c r="K126" s="5"/>
      <c r="L126" s="5"/>
      <c r="M126" s="11"/>
    </row>
    <row r="127" spans="1:13" x14ac:dyDescent="0.3">
      <c r="A127" s="1" t="s">
        <v>387</v>
      </c>
      <c r="B127" s="1" t="s">
        <v>390</v>
      </c>
      <c r="C127" s="1" t="s">
        <v>32</v>
      </c>
      <c r="D127" s="1" t="s">
        <v>456</v>
      </c>
      <c r="E127" s="19">
        <v>45070.791388888887</v>
      </c>
      <c r="F127" s="1" t="s">
        <v>530</v>
      </c>
      <c r="G127" s="1" t="s">
        <v>480</v>
      </c>
      <c r="H127" s="4"/>
      <c r="I127" s="4">
        <v>1804</v>
      </c>
      <c r="J127" s="4"/>
      <c r="K127" s="5"/>
      <c r="L127" s="5"/>
      <c r="M127" s="11"/>
    </row>
    <row r="128" spans="1:13" x14ac:dyDescent="0.3">
      <c r="A128" s="1" t="s">
        <v>383</v>
      </c>
      <c r="B128" s="1" t="s">
        <v>382</v>
      </c>
      <c r="C128" s="1" t="s">
        <v>384</v>
      </c>
      <c r="D128" s="1" t="s">
        <v>456</v>
      </c>
      <c r="E128" s="19">
        <v>45066.377488425926</v>
      </c>
      <c r="F128" s="1" t="s">
        <v>529</v>
      </c>
      <c r="G128" s="1" t="s">
        <v>480</v>
      </c>
      <c r="H128" s="4"/>
      <c r="I128" s="4">
        <v>1019</v>
      </c>
      <c r="J128" s="4"/>
      <c r="K128" s="5"/>
      <c r="L128" s="5"/>
      <c r="M128" s="11"/>
    </row>
    <row r="129" spans="1:13" x14ac:dyDescent="0.3">
      <c r="A129" s="1" t="s">
        <v>383</v>
      </c>
      <c r="B129" s="1" t="s">
        <v>382</v>
      </c>
      <c r="C129" s="1" t="s">
        <v>384</v>
      </c>
      <c r="D129" s="1" t="s">
        <v>456</v>
      </c>
      <c r="E129" s="19">
        <v>45066.377488425926</v>
      </c>
      <c r="F129" s="1" t="s">
        <v>530</v>
      </c>
      <c r="G129" s="1" t="s">
        <v>480</v>
      </c>
      <c r="H129" s="4"/>
      <c r="I129" s="4">
        <v>1019</v>
      </c>
      <c r="J129" s="4"/>
      <c r="K129" s="5"/>
      <c r="L129" s="5"/>
      <c r="M129" s="11"/>
    </row>
    <row r="130" spans="1:13" x14ac:dyDescent="0.3">
      <c r="A130" s="1" t="s">
        <v>380</v>
      </c>
      <c r="B130" s="1" t="s">
        <v>381</v>
      </c>
      <c r="C130" s="1" t="s">
        <v>384</v>
      </c>
      <c r="D130" s="1" t="s">
        <v>458</v>
      </c>
      <c r="E130" s="19">
        <v>45066.370891203704</v>
      </c>
      <c r="F130" s="1" t="s">
        <v>529</v>
      </c>
      <c r="G130" s="1" t="s">
        <v>480</v>
      </c>
      <c r="H130" s="4"/>
      <c r="I130" s="4">
        <v>936</v>
      </c>
      <c r="J130" s="4"/>
      <c r="K130" s="5"/>
      <c r="L130" s="5"/>
      <c r="M130" s="11"/>
    </row>
    <row r="131" spans="1:13" x14ac:dyDescent="0.3">
      <c r="A131" s="1" t="s">
        <v>380</v>
      </c>
      <c r="B131" s="1" t="s">
        <v>381</v>
      </c>
      <c r="C131" s="1" t="s">
        <v>384</v>
      </c>
      <c r="D131" s="1" t="s">
        <v>458</v>
      </c>
      <c r="E131" s="19">
        <v>45066.370891203704</v>
      </c>
      <c r="F131" s="1" t="s">
        <v>530</v>
      </c>
      <c r="G131" s="1" t="s">
        <v>480</v>
      </c>
      <c r="H131" s="4"/>
      <c r="I131" s="4">
        <v>936</v>
      </c>
      <c r="J131" s="4"/>
      <c r="K131" s="5"/>
      <c r="L131" s="5"/>
      <c r="M131" s="11"/>
    </row>
    <row r="132" spans="1:13" x14ac:dyDescent="0.3">
      <c r="A132" s="1" t="s">
        <v>376</v>
      </c>
      <c r="B132" s="1" t="s">
        <v>377</v>
      </c>
      <c r="C132" s="1" t="s">
        <v>55</v>
      </c>
      <c r="D132" s="1" t="s">
        <v>456</v>
      </c>
      <c r="E132" s="19">
        <v>45064.864120370374</v>
      </c>
      <c r="F132" s="1" t="s">
        <v>529</v>
      </c>
      <c r="G132" s="1" t="s">
        <v>480</v>
      </c>
      <c r="H132" s="4"/>
      <c r="I132" s="4"/>
      <c r="J132" s="4"/>
      <c r="K132" s="5"/>
      <c r="L132" s="5"/>
      <c r="M132" s="11"/>
    </row>
    <row r="133" spans="1:13" x14ac:dyDescent="0.3">
      <c r="A133" s="1" t="s">
        <v>376</v>
      </c>
      <c r="B133" s="1" t="s">
        <v>377</v>
      </c>
      <c r="C133" s="1" t="s">
        <v>55</v>
      </c>
      <c r="D133" s="1" t="s">
        <v>456</v>
      </c>
      <c r="E133" s="19">
        <v>45064.864120370374</v>
      </c>
      <c r="F133" s="1" t="s">
        <v>530</v>
      </c>
      <c r="G133" s="1" t="s">
        <v>480</v>
      </c>
      <c r="H133" s="4"/>
      <c r="I133" s="4"/>
      <c r="J133" s="4"/>
      <c r="K133" s="5" t="s">
        <v>289</v>
      </c>
      <c r="L133" s="5" t="s">
        <v>310</v>
      </c>
      <c r="M133" s="11">
        <v>600</v>
      </c>
    </row>
    <row r="134" spans="1:13" x14ac:dyDescent="0.3">
      <c r="A134" s="1" t="s">
        <v>130</v>
      </c>
      <c r="B134" s="1" t="s">
        <v>131</v>
      </c>
      <c r="C134" s="1" t="s">
        <v>2</v>
      </c>
      <c r="D134" s="1" t="s">
        <v>456</v>
      </c>
      <c r="E134" s="19">
        <v>45064.599166666667</v>
      </c>
      <c r="F134" s="1" t="s">
        <v>530</v>
      </c>
      <c r="G134" s="1" t="s">
        <v>480</v>
      </c>
      <c r="H134" s="4"/>
      <c r="I134" s="4">
        <v>1637</v>
      </c>
      <c r="J134" s="4"/>
      <c r="K134" s="5"/>
      <c r="L134" s="5"/>
      <c r="M134" s="11"/>
    </row>
    <row r="135" spans="1:13" x14ac:dyDescent="0.3">
      <c r="A135" s="1" t="s">
        <v>132</v>
      </c>
      <c r="B135" s="1" t="s">
        <v>133</v>
      </c>
      <c r="C135" s="1" t="s">
        <v>2</v>
      </c>
      <c r="D135" s="1" t="s">
        <v>456</v>
      </c>
      <c r="E135" s="19">
        <v>45064.597337962965</v>
      </c>
      <c r="F135" s="1" t="s">
        <v>530</v>
      </c>
      <c r="G135" s="1" t="s">
        <v>480</v>
      </c>
      <c r="H135" s="4"/>
      <c r="I135" s="4">
        <v>1484</v>
      </c>
      <c r="J135" s="4"/>
      <c r="K135" s="5"/>
      <c r="L135" s="5"/>
      <c r="M135" s="11"/>
    </row>
    <row r="136" spans="1:13" x14ac:dyDescent="0.3">
      <c r="A136" s="1" t="s">
        <v>374</v>
      </c>
      <c r="B136" s="1" t="s">
        <v>375</v>
      </c>
      <c r="C136" s="1" t="s">
        <v>175</v>
      </c>
      <c r="D136" s="1" t="s">
        <v>456</v>
      </c>
      <c r="E136" s="19">
        <v>45064.594826388886</v>
      </c>
      <c r="F136" s="1" t="s">
        <v>530</v>
      </c>
      <c r="G136" s="1" t="s">
        <v>480</v>
      </c>
      <c r="H136" s="4"/>
      <c r="I136" s="4">
        <v>1318</v>
      </c>
      <c r="J136" s="4"/>
      <c r="K136" s="5"/>
      <c r="L136" s="5"/>
      <c r="M136" s="11"/>
    </row>
    <row r="137" spans="1:13" x14ac:dyDescent="0.3">
      <c r="A137" s="1" t="s">
        <v>128</v>
      </c>
      <c r="B137" s="1" t="s">
        <v>129</v>
      </c>
      <c r="C137" s="1" t="s">
        <v>2</v>
      </c>
      <c r="D137" s="1" t="s">
        <v>456</v>
      </c>
      <c r="E137" s="19">
        <v>45064.59443287037</v>
      </c>
      <c r="F137" s="1" t="s">
        <v>530</v>
      </c>
      <c r="G137" s="1" t="s">
        <v>480</v>
      </c>
      <c r="H137" s="4"/>
      <c r="I137" s="4">
        <v>2416</v>
      </c>
      <c r="J137" s="4"/>
      <c r="K137" s="5"/>
      <c r="L137" s="5"/>
      <c r="M137" s="11"/>
    </row>
    <row r="138" spans="1:13" x14ac:dyDescent="0.3">
      <c r="A138" s="1" t="s">
        <v>372</v>
      </c>
      <c r="B138" s="1" t="s">
        <v>373</v>
      </c>
      <c r="C138" s="1" t="s">
        <v>1</v>
      </c>
      <c r="D138" s="1" t="s">
        <v>458</v>
      </c>
      <c r="E138" s="19">
        <v>45064.510509259257</v>
      </c>
      <c r="F138" s="1" t="s">
        <v>530</v>
      </c>
      <c r="G138" s="1" t="s">
        <v>480</v>
      </c>
      <c r="H138" s="4"/>
      <c r="I138" s="4">
        <v>1852</v>
      </c>
      <c r="J138" s="4"/>
      <c r="K138" s="5"/>
      <c r="L138" s="5"/>
      <c r="M138" s="11"/>
    </row>
    <row r="139" spans="1:13" x14ac:dyDescent="0.3">
      <c r="A139" s="1" t="s">
        <v>370</v>
      </c>
      <c r="B139" s="1" t="s">
        <v>371</v>
      </c>
      <c r="C139" s="1" t="s">
        <v>175</v>
      </c>
      <c r="D139" s="1" t="s">
        <v>456</v>
      </c>
      <c r="E139" s="19">
        <v>45063.723449074074</v>
      </c>
      <c r="F139" s="1" t="s">
        <v>530</v>
      </c>
      <c r="G139" s="1" t="s">
        <v>480</v>
      </c>
      <c r="H139" s="4"/>
      <c r="I139" s="4">
        <v>1830</v>
      </c>
      <c r="J139" s="4"/>
      <c r="K139" s="5"/>
      <c r="L139" s="5"/>
      <c r="M139" s="11"/>
    </row>
    <row r="140" spans="1:13" x14ac:dyDescent="0.3">
      <c r="A140" s="1" t="s">
        <v>70</v>
      </c>
      <c r="B140" s="1" t="s">
        <v>82</v>
      </c>
      <c r="C140" s="1" t="s">
        <v>2</v>
      </c>
      <c r="D140" s="1" t="s">
        <v>456</v>
      </c>
      <c r="E140" s="19">
        <v>45059.712314814817</v>
      </c>
      <c r="F140" s="1" t="s">
        <v>529</v>
      </c>
      <c r="G140" s="1" t="s">
        <v>480</v>
      </c>
      <c r="H140" s="4">
        <v>4</v>
      </c>
      <c r="I140" s="4">
        <v>2594</v>
      </c>
      <c r="J140" s="4"/>
      <c r="K140" s="5"/>
      <c r="L140" s="5"/>
      <c r="M140" s="11"/>
    </row>
    <row r="141" spans="1:13" x14ac:dyDescent="0.3">
      <c r="A141" s="1" t="s">
        <v>70</v>
      </c>
      <c r="B141" s="1" t="s">
        <v>82</v>
      </c>
      <c r="C141" s="1" t="s">
        <v>2</v>
      </c>
      <c r="D141" s="1" t="s">
        <v>456</v>
      </c>
      <c r="E141" s="19">
        <v>45059.712314814817</v>
      </c>
      <c r="F141" s="1" t="s">
        <v>530</v>
      </c>
      <c r="G141" s="1" t="s">
        <v>480</v>
      </c>
      <c r="H141" s="4">
        <v>4</v>
      </c>
      <c r="I141" s="4">
        <v>2594</v>
      </c>
      <c r="J141" s="4"/>
      <c r="K141" s="5" t="s">
        <v>288</v>
      </c>
      <c r="L141" s="5" t="s">
        <v>313</v>
      </c>
      <c r="M141" s="11">
        <v>2500</v>
      </c>
    </row>
    <row r="142" spans="1:13" x14ac:dyDescent="0.3">
      <c r="A142" s="1" t="s">
        <v>369</v>
      </c>
      <c r="B142" s="1" t="s">
        <v>368</v>
      </c>
      <c r="C142" s="1" t="s">
        <v>1</v>
      </c>
      <c r="D142" s="1" t="s">
        <v>456</v>
      </c>
      <c r="E142" s="19">
        <v>45058.786041666666</v>
      </c>
      <c r="F142" s="1" t="s">
        <v>530</v>
      </c>
      <c r="G142" s="1" t="s">
        <v>480</v>
      </c>
      <c r="H142" s="4"/>
      <c r="I142" s="4">
        <v>1440</v>
      </c>
      <c r="J142" s="4"/>
      <c r="K142" s="5"/>
      <c r="L142" s="5"/>
      <c r="M142" s="11"/>
    </row>
    <row r="143" spans="1:13" x14ac:dyDescent="0.3">
      <c r="A143" s="1" t="s">
        <v>366</v>
      </c>
      <c r="B143" s="1" t="s">
        <v>367</v>
      </c>
      <c r="C143" s="1" t="s">
        <v>1</v>
      </c>
      <c r="D143" s="1" t="s">
        <v>456</v>
      </c>
      <c r="E143" s="19">
        <v>45054.749050925922</v>
      </c>
      <c r="F143" s="1" t="s">
        <v>530</v>
      </c>
      <c r="G143" s="1" t="s">
        <v>480</v>
      </c>
      <c r="H143" s="4"/>
      <c r="I143" s="4">
        <v>1926</v>
      </c>
      <c r="J143" s="4"/>
      <c r="K143" s="5"/>
      <c r="L143" s="5"/>
      <c r="M143" s="11"/>
    </row>
    <row r="144" spans="1:13" x14ac:dyDescent="0.3">
      <c r="A144" s="1" t="s">
        <v>75</v>
      </c>
      <c r="B144" s="1" t="s">
        <v>16</v>
      </c>
      <c r="C144" s="1" t="s">
        <v>4</v>
      </c>
      <c r="D144" s="1" t="s">
        <v>456</v>
      </c>
      <c r="E144" s="19">
        <v>45051.364641203705</v>
      </c>
      <c r="F144" s="1" t="s">
        <v>529</v>
      </c>
      <c r="G144" s="1" t="s">
        <v>480</v>
      </c>
      <c r="H144" s="4"/>
      <c r="I144" s="4">
        <v>2396</v>
      </c>
      <c r="J144" s="4"/>
      <c r="K144" s="5"/>
      <c r="L144" s="5"/>
      <c r="M144" s="11"/>
    </row>
    <row r="145" spans="1:13" x14ac:dyDescent="0.3">
      <c r="A145" s="1" t="s">
        <v>75</v>
      </c>
      <c r="B145" s="1" t="s">
        <v>16</v>
      </c>
      <c r="C145" s="1" t="s">
        <v>4</v>
      </c>
      <c r="D145" s="1" t="s">
        <v>456</v>
      </c>
      <c r="E145" s="19">
        <v>45051.364641203705</v>
      </c>
      <c r="F145" s="1" t="s">
        <v>530</v>
      </c>
      <c r="G145" s="1" t="s">
        <v>480</v>
      </c>
      <c r="H145" s="4"/>
      <c r="I145" s="4">
        <v>2396</v>
      </c>
      <c r="J145" s="4"/>
      <c r="K145" s="5"/>
      <c r="L145" s="5"/>
      <c r="M145" s="11"/>
    </row>
    <row r="146" spans="1:13" x14ac:dyDescent="0.3">
      <c r="A146" s="1" t="s">
        <v>363</v>
      </c>
      <c r="B146" s="1" t="s">
        <v>359</v>
      </c>
      <c r="C146" s="1" t="s">
        <v>2</v>
      </c>
      <c r="D146" s="1" t="s">
        <v>456</v>
      </c>
      <c r="E146" s="19">
        <v>45045.827164351853</v>
      </c>
      <c r="F146" s="1" t="s">
        <v>529</v>
      </c>
      <c r="G146" s="1" t="s">
        <v>480</v>
      </c>
      <c r="H146" s="4"/>
      <c r="I146" s="4">
        <v>1473</v>
      </c>
      <c r="J146" s="4"/>
      <c r="K146" s="5"/>
      <c r="L146" s="5"/>
      <c r="M146" s="11"/>
    </row>
    <row r="147" spans="1:13" x14ac:dyDescent="0.3">
      <c r="A147" s="1" t="s">
        <v>363</v>
      </c>
      <c r="B147" s="1" t="s">
        <v>359</v>
      </c>
      <c r="C147" s="1" t="s">
        <v>2</v>
      </c>
      <c r="D147" s="1" t="s">
        <v>456</v>
      </c>
      <c r="E147" s="19">
        <v>45045.827164351853</v>
      </c>
      <c r="F147" s="1" t="s">
        <v>530</v>
      </c>
      <c r="G147" s="1" t="s">
        <v>480</v>
      </c>
      <c r="H147" s="4"/>
      <c r="I147" s="4">
        <v>1473</v>
      </c>
      <c r="J147" s="4"/>
      <c r="K147" s="5"/>
      <c r="L147" s="5"/>
      <c r="M147" s="11"/>
    </row>
    <row r="148" spans="1:13" x14ac:dyDescent="0.3">
      <c r="A148" s="1" t="s">
        <v>361</v>
      </c>
      <c r="B148" s="1" t="s">
        <v>362</v>
      </c>
      <c r="C148" s="1" t="s">
        <v>2</v>
      </c>
      <c r="D148" s="1" t="s">
        <v>456</v>
      </c>
      <c r="E148" s="19">
        <v>45045.820405092592</v>
      </c>
      <c r="F148" s="1" t="s">
        <v>529</v>
      </c>
      <c r="G148" s="1" t="s">
        <v>480</v>
      </c>
      <c r="H148" s="4"/>
      <c r="I148" s="4">
        <v>1425</v>
      </c>
      <c r="J148" s="4"/>
      <c r="K148" s="5"/>
      <c r="L148" s="5"/>
      <c r="M148" s="11"/>
    </row>
    <row r="149" spans="1:13" x14ac:dyDescent="0.3">
      <c r="A149" s="1" t="s">
        <v>361</v>
      </c>
      <c r="B149" s="1" t="s">
        <v>362</v>
      </c>
      <c r="C149" s="1" t="s">
        <v>2</v>
      </c>
      <c r="D149" s="1" t="s">
        <v>456</v>
      </c>
      <c r="E149" s="19">
        <v>45045.820405092592</v>
      </c>
      <c r="F149" s="1" t="s">
        <v>530</v>
      </c>
      <c r="G149" s="1" t="s">
        <v>480</v>
      </c>
      <c r="H149" s="4"/>
      <c r="I149" s="4">
        <v>1425</v>
      </c>
      <c r="J149" s="4"/>
      <c r="K149" s="5"/>
      <c r="L149" s="5"/>
      <c r="M149" s="11"/>
    </row>
    <row r="150" spans="1:13" x14ac:dyDescent="0.3">
      <c r="A150" s="1" t="s">
        <v>360</v>
      </c>
      <c r="B150" s="1" t="s">
        <v>438</v>
      </c>
      <c r="C150" s="1" t="s">
        <v>2</v>
      </c>
      <c r="D150" s="1" t="s">
        <v>456</v>
      </c>
      <c r="E150" s="19">
        <v>45045.817025462966</v>
      </c>
      <c r="F150" s="1" t="s">
        <v>530</v>
      </c>
      <c r="G150" s="1" t="s">
        <v>480</v>
      </c>
      <c r="H150" s="4"/>
      <c r="I150" s="4">
        <v>1451</v>
      </c>
      <c r="J150" s="4"/>
      <c r="K150" s="5" t="s">
        <v>289</v>
      </c>
      <c r="L150" s="5" t="s">
        <v>313</v>
      </c>
      <c r="M150" s="11">
        <v>400</v>
      </c>
    </row>
    <row r="151" spans="1:13" x14ac:dyDescent="0.3">
      <c r="A151" s="1" t="s">
        <v>357</v>
      </c>
      <c r="B151" s="1" t="s">
        <v>358</v>
      </c>
      <c r="C151" s="1" t="s">
        <v>226</v>
      </c>
      <c r="D151" s="1" t="s">
        <v>456</v>
      </c>
      <c r="E151" s="19">
        <v>45031.843680555554</v>
      </c>
      <c r="F151" s="1" t="s">
        <v>529</v>
      </c>
      <c r="G151" s="1" t="s">
        <v>480</v>
      </c>
      <c r="H151" s="4"/>
      <c r="I151" s="4">
        <v>1860</v>
      </c>
      <c r="J151" s="4"/>
      <c r="K151" s="5"/>
      <c r="L151" s="5"/>
      <c r="M151" s="11"/>
    </row>
    <row r="152" spans="1:13" x14ac:dyDescent="0.3">
      <c r="A152" s="1" t="s">
        <v>357</v>
      </c>
      <c r="B152" s="1" t="s">
        <v>358</v>
      </c>
      <c r="C152" s="1" t="s">
        <v>226</v>
      </c>
      <c r="D152" s="1" t="s">
        <v>456</v>
      </c>
      <c r="E152" s="19">
        <v>45031.843680555554</v>
      </c>
      <c r="F152" s="1" t="s">
        <v>530</v>
      </c>
      <c r="G152" s="1" t="s">
        <v>480</v>
      </c>
      <c r="H152" s="4"/>
      <c r="I152" s="4">
        <v>1860</v>
      </c>
      <c r="J152" s="4"/>
      <c r="K152" s="5"/>
      <c r="L152" s="5"/>
      <c r="M152" s="11"/>
    </row>
    <row r="153" spans="1:13" x14ac:dyDescent="0.3">
      <c r="A153" s="1" t="s">
        <v>356</v>
      </c>
      <c r="B153" s="1" t="s">
        <v>355</v>
      </c>
      <c r="C153" s="1" t="s">
        <v>226</v>
      </c>
      <c r="D153" s="1" t="s">
        <v>456</v>
      </c>
      <c r="E153" s="19">
        <v>45031.776238425926</v>
      </c>
      <c r="F153" s="1" t="s">
        <v>529</v>
      </c>
      <c r="G153" s="1" t="s">
        <v>482</v>
      </c>
      <c r="H153" s="4"/>
      <c r="I153" s="4">
        <v>1936</v>
      </c>
      <c r="J153" s="4"/>
      <c r="K153" s="5"/>
      <c r="L153" s="5"/>
      <c r="M153" s="11"/>
    </row>
    <row r="154" spans="1:13" x14ac:dyDescent="0.3">
      <c r="A154" s="1" t="s">
        <v>356</v>
      </c>
      <c r="B154" s="1" t="s">
        <v>355</v>
      </c>
      <c r="C154" s="1" t="s">
        <v>226</v>
      </c>
      <c r="D154" s="1" t="s">
        <v>456</v>
      </c>
      <c r="E154" s="19">
        <v>45031.776238425926</v>
      </c>
      <c r="F154" s="1" t="s">
        <v>530</v>
      </c>
      <c r="G154" s="1" t="s">
        <v>482</v>
      </c>
      <c r="H154" s="4"/>
      <c r="I154" s="4">
        <v>1936</v>
      </c>
      <c r="J154" s="4"/>
      <c r="K154" s="5"/>
      <c r="L154" s="5"/>
      <c r="M154" s="11"/>
    </row>
    <row r="155" spans="1:13" x14ac:dyDescent="0.3">
      <c r="A155" s="1" t="s">
        <v>352</v>
      </c>
      <c r="B155" s="1" t="s">
        <v>353</v>
      </c>
      <c r="C155" s="1" t="s">
        <v>2</v>
      </c>
      <c r="D155" s="1" t="s">
        <v>456</v>
      </c>
      <c r="E155" s="19">
        <v>45027.78564814815</v>
      </c>
      <c r="F155" s="1" t="s">
        <v>529</v>
      </c>
      <c r="G155" s="1" t="s">
        <v>480</v>
      </c>
      <c r="H155" s="4"/>
      <c r="I155" s="4">
        <v>1014</v>
      </c>
      <c r="J155" s="4"/>
      <c r="K155" s="5"/>
      <c r="L155" s="5"/>
      <c r="M155" s="11"/>
    </row>
    <row r="156" spans="1:13" x14ac:dyDescent="0.3">
      <c r="A156" s="1" t="s">
        <v>352</v>
      </c>
      <c r="B156" s="1" t="s">
        <v>353</v>
      </c>
      <c r="C156" s="1" t="s">
        <v>2</v>
      </c>
      <c r="D156" s="1" t="s">
        <v>456</v>
      </c>
      <c r="E156" s="19">
        <v>45027.78564814815</v>
      </c>
      <c r="F156" s="1" t="s">
        <v>530</v>
      </c>
      <c r="G156" s="1" t="s">
        <v>480</v>
      </c>
      <c r="H156" s="4"/>
      <c r="I156" s="4">
        <v>1014</v>
      </c>
      <c r="J156" s="4"/>
      <c r="K156" s="5"/>
      <c r="L156" s="5"/>
      <c r="M156" s="11"/>
    </row>
    <row r="157" spans="1:13" x14ac:dyDescent="0.3">
      <c r="A157" s="1" t="s">
        <v>351</v>
      </c>
      <c r="B157" s="1" t="s">
        <v>350</v>
      </c>
      <c r="C157" s="1" t="s">
        <v>354</v>
      </c>
      <c r="D157" s="1" t="s">
        <v>456</v>
      </c>
      <c r="E157" s="19">
        <v>45027.482905092591</v>
      </c>
      <c r="F157" s="1" t="s">
        <v>529</v>
      </c>
      <c r="G157" s="1" t="s">
        <v>480</v>
      </c>
      <c r="H157" s="4"/>
      <c r="I157" s="4"/>
      <c r="J157" s="4"/>
      <c r="K157" s="5"/>
      <c r="L157" s="5"/>
      <c r="M157" s="11"/>
    </row>
    <row r="158" spans="1:13" x14ac:dyDescent="0.3">
      <c r="A158" s="1" t="s">
        <v>351</v>
      </c>
      <c r="B158" s="1" t="s">
        <v>350</v>
      </c>
      <c r="C158" s="1" t="s">
        <v>354</v>
      </c>
      <c r="D158" s="1" t="s">
        <v>456</v>
      </c>
      <c r="E158" s="19">
        <v>45027.482905092591</v>
      </c>
      <c r="F158" s="1" t="s">
        <v>530</v>
      </c>
      <c r="G158" s="1" t="s">
        <v>480</v>
      </c>
      <c r="H158" s="4"/>
      <c r="I158" s="4"/>
      <c r="J158" s="4"/>
      <c r="K158" s="5"/>
      <c r="L158" s="5"/>
      <c r="M158" s="11"/>
    </row>
    <row r="159" spans="1:13" x14ac:dyDescent="0.3">
      <c r="A159" s="1" t="s">
        <v>348</v>
      </c>
      <c r="B159" s="1" t="s">
        <v>349</v>
      </c>
      <c r="C159" s="1" t="s">
        <v>2</v>
      </c>
      <c r="D159" s="1" t="s">
        <v>456</v>
      </c>
      <c r="E159" s="19">
        <v>45023.731863425928</v>
      </c>
      <c r="F159" s="1" t="s">
        <v>530</v>
      </c>
      <c r="G159" s="1" t="s">
        <v>480</v>
      </c>
      <c r="H159" s="4"/>
      <c r="I159" s="4"/>
      <c r="J159" s="4"/>
      <c r="K159" s="5"/>
      <c r="L159" s="5"/>
      <c r="M159" s="11"/>
    </row>
    <row r="160" spans="1:13" x14ac:dyDescent="0.3">
      <c r="A160" s="1" t="s">
        <v>347</v>
      </c>
      <c r="B160" s="1" t="s">
        <v>346</v>
      </c>
      <c r="C160" s="1" t="s">
        <v>2</v>
      </c>
      <c r="D160" s="1" t="s">
        <v>456</v>
      </c>
      <c r="E160" s="19">
        <v>45023.729861111111</v>
      </c>
      <c r="F160" s="1" t="s">
        <v>530</v>
      </c>
      <c r="G160" s="1" t="s">
        <v>480</v>
      </c>
      <c r="H160" s="4"/>
      <c r="I160" s="4"/>
      <c r="J160" s="4"/>
      <c r="K160" s="5"/>
      <c r="L160" s="5"/>
      <c r="M160" s="11"/>
    </row>
    <row r="161" spans="1:13" x14ac:dyDescent="0.3">
      <c r="A161" s="1" t="s">
        <v>344</v>
      </c>
      <c r="B161" s="1" t="s">
        <v>345</v>
      </c>
      <c r="C161" s="1" t="s">
        <v>2</v>
      </c>
      <c r="D161" s="1" t="s">
        <v>456</v>
      </c>
      <c r="E161" s="19">
        <v>45023.7266087963</v>
      </c>
      <c r="F161" s="1" t="s">
        <v>530</v>
      </c>
      <c r="G161" s="1" t="s">
        <v>480</v>
      </c>
      <c r="H161" s="4"/>
      <c r="I161" s="4">
        <v>984</v>
      </c>
      <c r="J161" s="4"/>
      <c r="K161" s="5"/>
      <c r="L161" s="5"/>
      <c r="M161" s="11"/>
    </row>
    <row r="162" spans="1:13" x14ac:dyDescent="0.3">
      <c r="A162" s="1" t="s">
        <v>342</v>
      </c>
      <c r="B162" s="1" t="s">
        <v>338</v>
      </c>
      <c r="C162" s="1" t="s">
        <v>339</v>
      </c>
      <c r="D162" s="1" t="s">
        <v>456</v>
      </c>
      <c r="E162" s="19">
        <v>45021.399456018517</v>
      </c>
      <c r="F162" s="1" t="s">
        <v>530</v>
      </c>
      <c r="G162" s="1" t="s">
        <v>480</v>
      </c>
      <c r="H162" s="4"/>
      <c r="I162" s="4">
        <v>1447</v>
      </c>
      <c r="J162" s="4"/>
      <c r="K162" s="5"/>
      <c r="L162" s="5"/>
      <c r="M162" s="11"/>
    </row>
    <row r="163" spans="1:13" x14ac:dyDescent="0.3">
      <c r="A163" s="1" t="s">
        <v>257</v>
      </c>
      <c r="B163" s="1" t="s">
        <v>258</v>
      </c>
      <c r="C163" s="1" t="s">
        <v>2</v>
      </c>
      <c r="D163" s="1" t="s">
        <v>456</v>
      </c>
      <c r="E163" s="19">
        <v>45020.602164351854</v>
      </c>
      <c r="F163" s="1" t="s">
        <v>529</v>
      </c>
      <c r="G163" s="1" t="s">
        <v>482</v>
      </c>
      <c r="H163" s="4"/>
      <c r="I163" s="4">
        <v>1226</v>
      </c>
      <c r="J163" s="4"/>
      <c r="K163" s="5"/>
      <c r="L163" s="5"/>
      <c r="M163" s="11"/>
    </row>
    <row r="164" spans="1:13" x14ac:dyDescent="0.3">
      <c r="A164" s="1" t="s">
        <v>112</v>
      </c>
      <c r="B164" s="1" t="s">
        <v>113</v>
      </c>
      <c r="C164" s="1" t="s">
        <v>32</v>
      </c>
      <c r="D164" s="1" t="s">
        <v>456</v>
      </c>
      <c r="E164" s="19">
        <v>45020.363842592589</v>
      </c>
      <c r="F164" s="1" t="s">
        <v>529</v>
      </c>
      <c r="G164" s="1" t="s">
        <v>480</v>
      </c>
      <c r="H164" s="4">
        <v>3</v>
      </c>
      <c r="I164" s="4">
        <v>2399</v>
      </c>
      <c r="J164" s="4"/>
      <c r="K164" s="5"/>
      <c r="L164" s="5"/>
      <c r="M164" s="11"/>
    </row>
    <row r="165" spans="1:13" x14ac:dyDescent="0.3">
      <c r="A165" s="1" t="s">
        <v>112</v>
      </c>
      <c r="B165" s="1" t="s">
        <v>113</v>
      </c>
      <c r="C165" s="1" t="s">
        <v>32</v>
      </c>
      <c r="D165" s="1" t="s">
        <v>456</v>
      </c>
      <c r="E165" s="19">
        <v>45020.363842592589</v>
      </c>
      <c r="F165" s="1" t="s">
        <v>530</v>
      </c>
      <c r="G165" s="1" t="s">
        <v>480</v>
      </c>
      <c r="H165" s="4">
        <v>3</v>
      </c>
      <c r="I165" s="4">
        <v>2399</v>
      </c>
      <c r="J165" s="4"/>
      <c r="K165" s="5" t="s">
        <v>288</v>
      </c>
      <c r="L165" s="5" t="s">
        <v>311</v>
      </c>
      <c r="M165" s="11">
        <v>1000</v>
      </c>
    </row>
    <row r="166" spans="1:13" x14ac:dyDescent="0.3">
      <c r="A166" s="1" t="s">
        <v>378</v>
      </c>
      <c r="B166" s="1" t="s">
        <v>379</v>
      </c>
      <c r="C166" s="1" t="s">
        <v>319</v>
      </c>
      <c r="D166" s="1" t="s">
        <v>456</v>
      </c>
      <c r="E166" s="19">
        <v>45019.3671412037</v>
      </c>
      <c r="F166" s="1" t="s">
        <v>530</v>
      </c>
      <c r="G166" s="1" t="s">
        <v>482</v>
      </c>
      <c r="H166" s="4"/>
      <c r="I166" s="4">
        <v>1734</v>
      </c>
      <c r="J166" s="4"/>
      <c r="K166" s="5"/>
      <c r="L166" s="5"/>
      <c r="M166" s="11"/>
    </row>
    <row r="167" spans="1:13" x14ac:dyDescent="0.3">
      <c r="A167" s="1" t="s">
        <v>336</v>
      </c>
      <c r="B167" s="1" t="s">
        <v>337</v>
      </c>
      <c r="C167" s="1" t="s">
        <v>319</v>
      </c>
      <c r="D167" s="1" t="s">
        <v>456</v>
      </c>
      <c r="E167" s="19">
        <v>45019.3671412037</v>
      </c>
      <c r="F167" s="1" t="s">
        <v>530</v>
      </c>
      <c r="G167" s="1" t="s">
        <v>482</v>
      </c>
      <c r="H167" s="4"/>
      <c r="I167" s="4">
        <v>1916</v>
      </c>
      <c r="J167" s="4"/>
      <c r="K167" s="5"/>
      <c r="L167" s="5"/>
      <c r="M167" s="11"/>
    </row>
    <row r="168" spans="1:13" x14ac:dyDescent="0.3">
      <c r="A168" s="1" t="s">
        <v>436</v>
      </c>
      <c r="B168" s="1" t="s">
        <v>437</v>
      </c>
      <c r="C168" s="1" t="s">
        <v>319</v>
      </c>
      <c r="D168" s="1" t="s">
        <v>456</v>
      </c>
      <c r="E168" s="19">
        <v>45019.3671412037</v>
      </c>
      <c r="F168" s="1" t="s">
        <v>530</v>
      </c>
      <c r="G168" s="1" t="s">
        <v>480</v>
      </c>
      <c r="H168" s="4"/>
      <c r="I168" s="4">
        <v>1684</v>
      </c>
      <c r="J168" s="4"/>
      <c r="K168" s="5"/>
      <c r="L168" s="5"/>
      <c r="M168" s="11"/>
    </row>
    <row r="169" spans="1:13" x14ac:dyDescent="0.3">
      <c r="A169" s="1" t="s">
        <v>114</v>
      </c>
      <c r="B169" s="1" t="s">
        <v>115</v>
      </c>
      <c r="C169" s="1" t="s">
        <v>5</v>
      </c>
      <c r="D169" s="1" t="s">
        <v>456</v>
      </c>
      <c r="E169" s="19">
        <v>45018.845937500002</v>
      </c>
      <c r="F169" s="1" t="s">
        <v>530</v>
      </c>
      <c r="G169" s="1" t="s">
        <v>480</v>
      </c>
      <c r="H169" s="4"/>
      <c r="I169" s="4">
        <v>2458</v>
      </c>
      <c r="J169" s="4"/>
      <c r="K169" s="5"/>
      <c r="L169" s="5"/>
      <c r="M169" s="11"/>
    </row>
    <row r="170" spans="1:13" x14ac:dyDescent="0.3">
      <c r="A170" s="1" t="s">
        <v>334</v>
      </c>
      <c r="B170" s="1" t="s">
        <v>335</v>
      </c>
      <c r="C170" s="1" t="s">
        <v>319</v>
      </c>
      <c r="D170" s="1" t="s">
        <v>456</v>
      </c>
      <c r="E170" s="19">
        <v>45018.814166666663</v>
      </c>
      <c r="F170" s="1" t="s">
        <v>530</v>
      </c>
      <c r="G170" s="1" t="s">
        <v>480</v>
      </c>
      <c r="H170" s="4"/>
      <c r="I170" s="4">
        <v>1748</v>
      </c>
      <c r="J170" s="4"/>
      <c r="K170" s="5"/>
      <c r="L170" s="5"/>
      <c r="M170" s="11"/>
    </row>
    <row r="171" spans="1:13" x14ac:dyDescent="0.3">
      <c r="A171" s="1" t="s">
        <v>332</v>
      </c>
      <c r="B171" s="1" t="s">
        <v>333</v>
      </c>
      <c r="C171" s="1" t="s">
        <v>236</v>
      </c>
      <c r="D171" s="1" t="s">
        <v>456</v>
      </c>
      <c r="E171" s="19">
        <v>45010.918564814812</v>
      </c>
      <c r="F171" s="1" t="s">
        <v>529</v>
      </c>
      <c r="G171" s="1" t="s">
        <v>480</v>
      </c>
      <c r="H171" s="4"/>
      <c r="I171" s="4">
        <v>2280</v>
      </c>
      <c r="J171" s="4"/>
      <c r="K171" s="5"/>
      <c r="L171" s="5"/>
      <c r="M171" s="11"/>
    </row>
    <row r="172" spans="1:13" x14ac:dyDescent="0.3">
      <c r="A172" s="1" t="s">
        <v>332</v>
      </c>
      <c r="B172" s="1" t="s">
        <v>333</v>
      </c>
      <c r="C172" s="1" t="s">
        <v>236</v>
      </c>
      <c r="D172" s="1" t="s">
        <v>456</v>
      </c>
      <c r="E172" s="19">
        <v>45010.918564814812</v>
      </c>
      <c r="F172" s="1" t="s">
        <v>530</v>
      </c>
      <c r="G172" s="1" t="s">
        <v>480</v>
      </c>
      <c r="H172" s="4"/>
      <c r="I172" s="4">
        <v>2280</v>
      </c>
      <c r="J172" s="4"/>
      <c r="K172" s="5"/>
      <c r="L172" s="5"/>
      <c r="M172" s="11"/>
    </row>
    <row r="173" spans="1:13" x14ac:dyDescent="0.3">
      <c r="A173" s="1" t="s">
        <v>98</v>
      </c>
      <c r="B173" s="1" t="s">
        <v>99</v>
      </c>
      <c r="C173" s="1" t="s">
        <v>5</v>
      </c>
      <c r="D173" s="1" t="s">
        <v>456</v>
      </c>
      <c r="E173" s="19">
        <v>45001.928449074076</v>
      </c>
      <c r="F173" s="1" t="s">
        <v>529</v>
      </c>
      <c r="G173" s="1" t="s">
        <v>482</v>
      </c>
      <c r="H173" s="4"/>
      <c r="I173" s="4">
        <v>1956</v>
      </c>
      <c r="J173" s="4"/>
      <c r="K173" s="5"/>
      <c r="L173" s="5"/>
      <c r="M173" s="11"/>
    </row>
    <row r="174" spans="1:13" x14ac:dyDescent="0.3">
      <c r="A174" s="1" t="s">
        <v>98</v>
      </c>
      <c r="B174" s="1" t="s">
        <v>99</v>
      </c>
      <c r="C174" s="1" t="s">
        <v>5</v>
      </c>
      <c r="D174" s="1" t="s">
        <v>456</v>
      </c>
      <c r="E174" s="19">
        <v>45001.928449074076</v>
      </c>
      <c r="F174" s="1" t="s">
        <v>530</v>
      </c>
      <c r="G174" s="1" t="s">
        <v>482</v>
      </c>
      <c r="H174" s="4"/>
      <c r="I174" s="4">
        <v>1956</v>
      </c>
      <c r="J174" s="4"/>
      <c r="K174" s="5"/>
      <c r="L174" s="5"/>
      <c r="M174" s="11"/>
    </row>
    <row r="175" spans="1:13" x14ac:dyDescent="0.3">
      <c r="A175" s="1" t="s">
        <v>81</v>
      </c>
      <c r="B175" s="1" t="s">
        <v>50</v>
      </c>
      <c r="C175" s="1" t="s">
        <v>0</v>
      </c>
      <c r="D175" s="1" t="s">
        <v>456</v>
      </c>
      <c r="E175" s="19">
        <v>45000.805358796293</v>
      </c>
      <c r="F175" s="1" t="s">
        <v>529</v>
      </c>
      <c r="G175" s="1" t="s">
        <v>480</v>
      </c>
      <c r="H175" s="4"/>
      <c r="I175" s="4">
        <v>2112</v>
      </c>
      <c r="J175" s="4"/>
      <c r="K175" s="5"/>
      <c r="L175" s="5"/>
      <c r="M175" s="11"/>
    </row>
    <row r="176" spans="1:13" x14ac:dyDescent="0.3">
      <c r="A176" s="1" t="s">
        <v>81</v>
      </c>
      <c r="B176" s="1" t="s">
        <v>50</v>
      </c>
      <c r="C176" s="1" t="s">
        <v>0</v>
      </c>
      <c r="D176" s="1" t="s">
        <v>456</v>
      </c>
      <c r="E176" s="19">
        <v>45000.805358796293</v>
      </c>
      <c r="F176" s="1" t="s">
        <v>530</v>
      </c>
      <c r="G176" s="1" t="s">
        <v>480</v>
      </c>
      <c r="H176" s="4"/>
      <c r="I176" s="4">
        <v>2112</v>
      </c>
      <c r="J176" s="4"/>
      <c r="K176" s="5"/>
      <c r="L176" s="5"/>
      <c r="M176" s="11"/>
    </row>
    <row r="177" spans="1:13" x14ac:dyDescent="0.3">
      <c r="A177" s="1" t="s">
        <v>79</v>
      </c>
      <c r="B177" s="1" t="s">
        <v>21</v>
      </c>
      <c r="C177" s="1" t="s">
        <v>5</v>
      </c>
      <c r="D177" s="1" t="s">
        <v>456</v>
      </c>
      <c r="E177" s="19">
        <v>45000.805219907408</v>
      </c>
      <c r="F177" s="1" t="s">
        <v>529</v>
      </c>
      <c r="G177" s="1" t="s">
        <v>480</v>
      </c>
      <c r="H177" s="4"/>
      <c r="I177" s="4">
        <v>1894</v>
      </c>
      <c r="J177" s="4"/>
      <c r="K177" s="5"/>
      <c r="L177" s="5"/>
      <c r="M177" s="11"/>
    </row>
    <row r="178" spans="1:13" x14ac:dyDescent="0.3">
      <c r="A178" s="1" t="s">
        <v>79</v>
      </c>
      <c r="B178" s="1" t="s">
        <v>21</v>
      </c>
      <c r="C178" s="1" t="s">
        <v>5</v>
      </c>
      <c r="D178" s="1" t="s">
        <v>456</v>
      </c>
      <c r="E178" s="19">
        <v>45000.805219907408</v>
      </c>
      <c r="F178" s="1" t="s">
        <v>530</v>
      </c>
      <c r="G178" s="1" t="s">
        <v>480</v>
      </c>
      <c r="H178" s="4"/>
      <c r="I178" s="4">
        <v>1894</v>
      </c>
      <c r="J178" s="4"/>
      <c r="K178" s="5"/>
      <c r="L178" s="5"/>
      <c r="M178" s="11"/>
    </row>
    <row r="179" spans="1:13" x14ac:dyDescent="0.3">
      <c r="A179" s="1" t="s">
        <v>90</v>
      </c>
      <c r="B179" s="1" t="s">
        <v>15</v>
      </c>
      <c r="C179" s="1" t="s">
        <v>2</v>
      </c>
      <c r="D179" s="1" t="s">
        <v>456</v>
      </c>
      <c r="E179" s="19">
        <v>45000.772523148145</v>
      </c>
      <c r="F179" s="1" t="s">
        <v>529</v>
      </c>
      <c r="G179" s="1" t="s">
        <v>480</v>
      </c>
      <c r="H179" s="4">
        <v>1</v>
      </c>
      <c r="I179" s="4">
        <v>2525</v>
      </c>
      <c r="J179" s="4"/>
      <c r="K179" s="5"/>
      <c r="L179" s="5"/>
      <c r="M179" s="11"/>
    </row>
    <row r="180" spans="1:13" x14ac:dyDescent="0.3">
      <c r="A180" s="1" t="s">
        <v>90</v>
      </c>
      <c r="B180" s="1" t="s">
        <v>15</v>
      </c>
      <c r="C180" s="1" t="s">
        <v>2</v>
      </c>
      <c r="D180" s="1" t="s">
        <v>456</v>
      </c>
      <c r="E180" s="19">
        <v>45000.772523148145</v>
      </c>
      <c r="F180" s="1" t="s">
        <v>530</v>
      </c>
      <c r="G180" s="1" t="s">
        <v>480</v>
      </c>
      <c r="H180" s="4">
        <v>1</v>
      </c>
      <c r="I180" s="4">
        <v>2525</v>
      </c>
      <c r="J180" s="4"/>
      <c r="K180" s="5" t="s">
        <v>288</v>
      </c>
      <c r="L180" s="5" t="s">
        <v>310</v>
      </c>
      <c r="M180" s="11">
        <v>4000</v>
      </c>
    </row>
    <row r="181" spans="1:13" x14ac:dyDescent="0.3">
      <c r="A181" s="1" t="s">
        <v>274</v>
      </c>
      <c r="B181" s="1" t="s">
        <v>267</v>
      </c>
      <c r="C181" s="1" t="s">
        <v>32</v>
      </c>
      <c r="D181" s="1" t="s">
        <v>456</v>
      </c>
      <c r="E181" s="19">
        <v>44730.463888888888</v>
      </c>
      <c r="F181" s="1" t="s">
        <v>531</v>
      </c>
      <c r="G181" s="1" t="s">
        <v>480</v>
      </c>
      <c r="H181" s="4"/>
      <c r="I181" s="4"/>
      <c r="J181" s="4"/>
      <c r="K181" s="5"/>
      <c r="L181" s="5"/>
      <c r="M181" s="11"/>
    </row>
    <row r="182" spans="1:13" x14ac:dyDescent="0.3">
      <c r="A182" s="1" t="s">
        <v>264</v>
      </c>
      <c r="B182" s="1" t="s">
        <v>265</v>
      </c>
      <c r="C182" s="1" t="s">
        <v>5</v>
      </c>
      <c r="D182" s="1" t="s">
        <v>456</v>
      </c>
      <c r="E182" s="19">
        <v>44729.473611111112</v>
      </c>
      <c r="F182" s="1" t="s">
        <v>532</v>
      </c>
      <c r="G182" s="1" t="s">
        <v>480</v>
      </c>
      <c r="H182" s="4"/>
      <c r="I182" s="4">
        <v>1117</v>
      </c>
      <c r="J182" s="4"/>
      <c r="K182" s="5"/>
      <c r="L182" s="5"/>
      <c r="M182" s="11"/>
    </row>
    <row r="183" spans="1:13" x14ac:dyDescent="0.3">
      <c r="A183" s="1" t="s">
        <v>257</v>
      </c>
      <c r="B183" s="1" t="s">
        <v>258</v>
      </c>
      <c r="C183" s="1" t="s">
        <v>2</v>
      </c>
      <c r="D183" s="1" t="s">
        <v>456</v>
      </c>
      <c r="E183" s="19">
        <v>44728.906944444447</v>
      </c>
      <c r="F183" s="1" t="s">
        <v>532</v>
      </c>
      <c r="G183" s="1" t="s">
        <v>480</v>
      </c>
      <c r="H183" s="4"/>
      <c r="I183" s="4">
        <v>1220</v>
      </c>
      <c r="J183" s="4"/>
      <c r="K183" s="5"/>
      <c r="L183" s="5"/>
      <c r="M183" s="11"/>
    </row>
    <row r="184" spans="1:13" x14ac:dyDescent="0.3">
      <c r="A184" s="1" t="s">
        <v>259</v>
      </c>
      <c r="B184" s="1" t="s">
        <v>260</v>
      </c>
      <c r="C184" s="1" t="s">
        <v>4</v>
      </c>
      <c r="D184" s="1" t="s">
        <v>456</v>
      </c>
      <c r="E184" s="19">
        <v>44728.859027777777</v>
      </c>
      <c r="F184" s="1" t="s">
        <v>532</v>
      </c>
      <c r="G184" s="1" t="s">
        <v>480</v>
      </c>
      <c r="H184" s="4"/>
      <c r="I184" s="4">
        <v>2380</v>
      </c>
      <c r="J184" s="4"/>
      <c r="K184" s="5"/>
      <c r="L184" s="5"/>
      <c r="M184" s="11"/>
    </row>
    <row r="185" spans="1:13" x14ac:dyDescent="0.3">
      <c r="A185" s="1" t="s">
        <v>94</v>
      </c>
      <c r="B185" s="1" t="s">
        <v>97</v>
      </c>
      <c r="C185" s="1" t="s">
        <v>5</v>
      </c>
      <c r="D185" s="1" t="s">
        <v>456</v>
      </c>
      <c r="E185" s="19">
        <v>44728.751388888886</v>
      </c>
      <c r="F185" s="1" t="s">
        <v>531</v>
      </c>
      <c r="G185" s="1" t="s">
        <v>480</v>
      </c>
      <c r="H185" s="4"/>
      <c r="I185" s="4">
        <v>1647</v>
      </c>
      <c r="J185" s="4"/>
      <c r="K185" s="5"/>
      <c r="L185" s="5"/>
      <c r="M185" s="11"/>
    </row>
    <row r="186" spans="1:13" x14ac:dyDescent="0.3">
      <c r="A186" s="1" t="s">
        <v>275</v>
      </c>
      <c r="B186" s="1" t="s">
        <v>261</v>
      </c>
      <c r="C186" s="1" t="s">
        <v>5</v>
      </c>
      <c r="D186" s="1" t="s">
        <v>456</v>
      </c>
      <c r="E186" s="19">
        <v>44728.737500000003</v>
      </c>
      <c r="F186" s="1" t="s">
        <v>532</v>
      </c>
      <c r="G186" s="1" t="s">
        <v>480</v>
      </c>
      <c r="H186" s="4"/>
      <c r="I186" s="4">
        <v>914</v>
      </c>
      <c r="J186" s="4"/>
      <c r="K186" s="5"/>
      <c r="L186" s="5"/>
      <c r="M186" s="11"/>
    </row>
    <row r="187" spans="1:13" x14ac:dyDescent="0.3">
      <c r="A187" s="1" t="s">
        <v>262</v>
      </c>
      <c r="B187" s="1" t="s">
        <v>263</v>
      </c>
      <c r="C187" s="1" t="s">
        <v>5</v>
      </c>
      <c r="D187" s="1" t="s">
        <v>456</v>
      </c>
      <c r="E187" s="19">
        <v>44728.724999999999</v>
      </c>
      <c r="F187" s="1" t="s">
        <v>532</v>
      </c>
      <c r="G187" s="1" t="s">
        <v>480</v>
      </c>
      <c r="H187" s="4"/>
      <c r="I187" s="4">
        <v>2057</v>
      </c>
      <c r="J187" s="4"/>
      <c r="K187" s="5" t="s">
        <v>289</v>
      </c>
      <c r="L187" s="5" t="s">
        <v>310</v>
      </c>
      <c r="M187" s="11">
        <v>540</v>
      </c>
    </row>
    <row r="188" spans="1:13" x14ac:dyDescent="0.3">
      <c r="A188" s="1" t="s">
        <v>119</v>
      </c>
      <c r="B188" s="1" t="s">
        <v>207</v>
      </c>
      <c r="C188" s="1" t="s">
        <v>1</v>
      </c>
      <c r="D188" s="1" t="s">
        <v>456</v>
      </c>
      <c r="E188" s="19">
        <v>44728.695833333331</v>
      </c>
      <c r="F188" s="1" t="s">
        <v>531</v>
      </c>
      <c r="G188" s="1" t="s">
        <v>480</v>
      </c>
      <c r="H188" s="4"/>
      <c r="I188" s="4">
        <v>2587</v>
      </c>
      <c r="J188" s="4"/>
      <c r="K188" s="5"/>
      <c r="L188" s="5"/>
      <c r="M188" s="11"/>
    </row>
    <row r="189" spans="1:13" x14ac:dyDescent="0.3">
      <c r="A189" s="1" t="s">
        <v>255</v>
      </c>
      <c r="B189" s="1" t="s">
        <v>256</v>
      </c>
      <c r="C189" s="1" t="s">
        <v>32</v>
      </c>
      <c r="D189" s="1" t="s">
        <v>456</v>
      </c>
      <c r="E189" s="19">
        <v>44728.307638888888</v>
      </c>
      <c r="F189" s="1" t="s">
        <v>532</v>
      </c>
      <c r="G189" s="1" t="s">
        <v>480</v>
      </c>
      <c r="H189" s="4"/>
      <c r="I189" s="4">
        <v>1643</v>
      </c>
      <c r="J189" s="4"/>
      <c r="K189" s="5"/>
      <c r="L189" s="5"/>
      <c r="M189" s="11"/>
    </row>
    <row r="190" spans="1:13" x14ac:dyDescent="0.3">
      <c r="A190" s="1" t="s">
        <v>66</v>
      </c>
      <c r="B190" s="1" t="s">
        <v>54</v>
      </c>
      <c r="C190" s="1" t="s">
        <v>53</v>
      </c>
      <c r="D190" s="1" t="s">
        <v>456</v>
      </c>
      <c r="E190" s="19">
        <v>44725.526388888888</v>
      </c>
      <c r="F190" s="1" t="s">
        <v>532</v>
      </c>
      <c r="G190" s="1" t="s">
        <v>480</v>
      </c>
      <c r="H190" s="4"/>
      <c r="I190" s="4">
        <v>2284</v>
      </c>
      <c r="J190" s="4"/>
      <c r="K190" s="5"/>
      <c r="L190" s="5"/>
      <c r="M190" s="11"/>
    </row>
    <row r="191" spans="1:13" x14ac:dyDescent="0.3">
      <c r="A191" s="1" t="s">
        <v>253</v>
      </c>
      <c r="B191" s="1" t="s">
        <v>254</v>
      </c>
      <c r="C191" s="1" t="s">
        <v>150</v>
      </c>
      <c r="D191" s="1" t="s">
        <v>456</v>
      </c>
      <c r="E191" s="19">
        <v>44723.748611111114</v>
      </c>
      <c r="F191" s="1" t="s">
        <v>531</v>
      </c>
      <c r="G191" s="1" t="s">
        <v>480</v>
      </c>
      <c r="H191" s="4"/>
      <c r="I191" s="4"/>
      <c r="J191" s="4">
        <v>4</v>
      </c>
      <c r="K191" s="5"/>
      <c r="L191" s="5"/>
      <c r="M191" s="11"/>
    </row>
    <row r="192" spans="1:13" x14ac:dyDescent="0.3">
      <c r="A192" s="1" t="s">
        <v>253</v>
      </c>
      <c r="B192" s="1" t="s">
        <v>254</v>
      </c>
      <c r="C192" s="1" t="s">
        <v>150</v>
      </c>
      <c r="D192" s="1" t="s">
        <v>456</v>
      </c>
      <c r="E192" s="19">
        <v>44723.748611111114</v>
      </c>
      <c r="F192" s="1" t="s">
        <v>532</v>
      </c>
      <c r="G192" s="1" t="s">
        <v>480</v>
      </c>
      <c r="H192" s="4"/>
      <c r="I192" s="4"/>
      <c r="J192" s="4">
        <v>4</v>
      </c>
      <c r="K192" s="5"/>
      <c r="L192" s="5"/>
      <c r="M192" s="11"/>
    </row>
    <row r="193" spans="1:13" x14ac:dyDescent="0.3">
      <c r="A193" s="1" t="s">
        <v>127</v>
      </c>
      <c r="B193" s="1" t="s">
        <v>247</v>
      </c>
      <c r="C193" s="1" t="s">
        <v>1</v>
      </c>
      <c r="D193" s="1" t="s">
        <v>456</v>
      </c>
      <c r="E193" s="19">
        <v>44722.859027777777</v>
      </c>
      <c r="F193" s="1" t="s">
        <v>531</v>
      </c>
      <c r="G193" s="1" t="s">
        <v>480</v>
      </c>
      <c r="H193" s="4"/>
      <c r="I193" s="4">
        <v>2042</v>
      </c>
      <c r="J193" s="4"/>
      <c r="K193" s="5"/>
      <c r="L193" s="5"/>
      <c r="M193" s="11"/>
    </row>
    <row r="194" spans="1:13" x14ac:dyDescent="0.3">
      <c r="A194" s="1" t="s">
        <v>127</v>
      </c>
      <c r="B194" s="1" t="s">
        <v>247</v>
      </c>
      <c r="C194" s="1" t="s">
        <v>1</v>
      </c>
      <c r="D194" s="1" t="s">
        <v>456</v>
      </c>
      <c r="E194" s="19">
        <v>44722.859027777777</v>
      </c>
      <c r="F194" s="1" t="s">
        <v>532</v>
      </c>
      <c r="G194" s="1" t="s">
        <v>480</v>
      </c>
      <c r="H194" s="4"/>
      <c r="I194" s="4">
        <v>2042</v>
      </c>
      <c r="J194" s="4"/>
      <c r="K194" s="5"/>
      <c r="L194" s="5"/>
      <c r="M194" s="11"/>
    </row>
    <row r="195" spans="1:13" x14ac:dyDescent="0.3">
      <c r="A195" s="1" t="s">
        <v>248</v>
      </c>
      <c r="B195" s="1" t="s">
        <v>249</v>
      </c>
      <c r="C195" s="1" t="s">
        <v>250</v>
      </c>
      <c r="D195" s="1" t="s">
        <v>456</v>
      </c>
      <c r="E195" s="19">
        <v>44722.759027777778</v>
      </c>
      <c r="F195" s="1" t="s">
        <v>532</v>
      </c>
      <c r="G195" s="1" t="s">
        <v>482</v>
      </c>
      <c r="H195" s="4"/>
      <c r="I195" s="4">
        <v>1788</v>
      </c>
      <c r="J195" s="4"/>
      <c r="K195" s="5"/>
      <c r="L195" s="5"/>
      <c r="M195" s="11"/>
    </row>
    <row r="196" spans="1:13" x14ac:dyDescent="0.3">
      <c r="A196" s="1" t="s">
        <v>245</v>
      </c>
      <c r="B196" s="1" t="s">
        <v>246</v>
      </c>
      <c r="C196" s="1" t="s">
        <v>1</v>
      </c>
      <c r="D196" s="1" t="s">
        <v>456</v>
      </c>
      <c r="E196" s="19">
        <v>44719.868750000001</v>
      </c>
      <c r="F196" s="1" t="s">
        <v>532</v>
      </c>
      <c r="G196" s="1" t="s">
        <v>480</v>
      </c>
      <c r="H196" s="4"/>
      <c r="I196" s="4">
        <v>2025</v>
      </c>
      <c r="J196" s="4"/>
      <c r="K196" s="5"/>
      <c r="L196" s="5"/>
      <c r="M196" s="11"/>
    </row>
    <row r="197" spans="1:13" x14ac:dyDescent="0.3">
      <c r="A197" s="1" t="s">
        <v>243</v>
      </c>
      <c r="B197" s="1" t="s">
        <v>244</v>
      </c>
      <c r="C197" s="1" t="s">
        <v>226</v>
      </c>
      <c r="D197" s="1" t="s">
        <v>456</v>
      </c>
      <c r="E197" s="19">
        <v>44717.959027777775</v>
      </c>
      <c r="F197" s="1" t="s">
        <v>531</v>
      </c>
      <c r="G197" s="1" t="s">
        <v>480</v>
      </c>
      <c r="H197" s="4"/>
      <c r="I197" s="4">
        <v>2547</v>
      </c>
      <c r="J197" s="4"/>
      <c r="K197" s="5"/>
      <c r="L197" s="5"/>
      <c r="M197" s="11"/>
    </row>
    <row r="198" spans="1:13" x14ac:dyDescent="0.3">
      <c r="A198" s="1" t="s">
        <v>243</v>
      </c>
      <c r="B198" s="1" t="s">
        <v>244</v>
      </c>
      <c r="C198" s="1" t="s">
        <v>226</v>
      </c>
      <c r="D198" s="1" t="s">
        <v>456</v>
      </c>
      <c r="E198" s="19">
        <v>44717.959027777775</v>
      </c>
      <c r="F198" s="1" t="s">
        <v>532</v>
      </c>
      <c r="G198" s="1" t="s">
        <v>480</v>
      </c>
      <c r="H198" s="4"/>
      <c r="I198" s="4">
        <v>2547</v>
      </c>
      <c r="J198" s="4"/>
      <c r="K198" s="5"/>
      <c r="L198" s="5"/>
      <c r="M198" s="11"/>
    </row>
    <row r="199" spans="1:13" x14ac:dyDescent="0.3">
      <c r="A199" s="1" t="s">
        <v>122</v>
      </c>
      <c r="B199" s="1" t="s">
        <v>241</v>
      </c>
      <c r="C199" s="1" t="s">
        <v>1</v>
      </c>
      <c r="D199" s="1" t="s">
        <v>456</v>
      </c>
      <c r="E199" s="19">
        <v>44717.945833333331</v>
      </c>
      <c r="F199" s="1" t="s">
        <v>531</v>
      </c>
      <c r="G199" s="1" t="s">
        <v>480</v>
      </c>
      <c r="H199" s="4"/>
      <c r="I199" s="4">
        <v>2374</v>
      </c>
      <c r="J199" s="4"/>
      <c r="K199" s="5"/>
      <c r="L199" s="5"/>
      <c r="M199" s="11"/>
    </row>
    <row r="200" spans="1:13" x14ac:dyDescent="0.3">
      <c r="A200" s="1" t="s">
        <v>122</v>
      </c>
      <c r="B200" s="1" t="s">
        <v>241</v>
      </c>
      <c r="C200" s="1" t="s">
        <v>1</v>
      </c>
      <c r="D200" s="1" t="s">
        <v>456</v>
      </c>
      <c r="E200" s="19">
        <v>44717.945833333331</v>
      </c>
      <c r="F200" s="1" t="s">
        <v>532</v>
      </c>
      <c r="G200" s="1" t="s">
        <v>480</v>
      </c>
      <c r="H200" s="4"/>
      <c r="I200" s="4">
        <v>2374</v>
      </c>
      <c r="J200" s="4"/>
      <c r="K200" s="5"/>
      <c r="L200" s="5"/>
      <c r="M200" s="11"/>
    </row>
    <row r="201" spans="1:13" x14ac:dyDescent="0.3">
      <c r="A201" s="1" t="s">
        <v>71</v>
      </c>
      <c r="B201" s="1" t="s">
        <v>239</v>
      </c>
      <c r="C201" s="1" t="s">
        <v>2</v>
      </c>
      <c r="D201" s="1" t="s">
        <v>456</v>
      </c>
      <c r="E201" s="19">
        <v>44717.939583333333</v>
      </c>
      <c r="F201" s="1" t="s">
        <v>531</v>
      </c>
      <c r="G201" s="1" t="s">
        <v>482</v>
      </c>
      <c r="H201" s="4"/>
      <c r="I201" s="4">
        <v>1928</v>
      </c>
      <c r="J201" s="4"/>
      <c r="K201" s="5"/>
      <c r="L201" s="5"/>
      <c r="M201" s="11"/>
    </row>
    <row r="202" spans="1:13" x14ac:dyDescent="0.3">
      <c r="A202" s="1" t="s">
        <v>71</v>
      </c>
      <c r="B202" s="1" t="s">
        <v>239</v>
      </c>
      <c r="C202" s="1" t="s">
        <v>2</v>
      </c>
      <c r="D202" s="1" t="s">
        <v>456</v>
      </c>
      <c r="E202" s="19">
        <v>44717.939583333333</v>
      </c>
      <c r="F202" s="1" t="s">
        <v>532</v>
      </c>
      <c r="G202" s="1" t="s">
        <v>482</v>
      </c>
      <c r="H202" s="4"/>
      <c r="I202" s="4">
        <v>1928</v>
      </c>
      <c r="J202" s="4"/>
      <c r="K202" s="5"/>
      <c r="L202" s="5"/>
      <c r="M202" s="11"/>
    </row>
    <row r="203" spans="1:13" x14ac:dyDescent="0.3">
      <c r="A203" s="1" t="s">
        <v>276</v>
      </c>
      <c r="B203" s="1" t="s">
        <v>240</v>
      </c>
      <c r="C203" s="1" t="s">
        <v>5</v>
      </c>
      <c r="D203" s="1" t="s">
        <v>456</v>
      </c>
      <c r="E203" s="19">
        <v>44717.938194444447</v>
      </c>
      <c r="F203" s="1" t="s">
        <v>531</v>
      </c>
      <c r="G203" s="1" t="s">
        <v>480</v>
      </c>
      <c r="H203" s="4"/>
      <c r="I203" s="4">
        <v>2164</v>
      </c>
      <c r="J203" s="4"/>
      <c r="K203" s="5"/>
      <c r="L203" s="5"/>
      <c r="M203" s="11"/>
    </row>
    <row r="204" spans="1:13" x14ac:dyDescent="0.3">
      <c r="A204" s="1" t="s">
        <v>276</v>
      </c>
      <c r="B204" s="1" t="s">
        <v>240</v>
      </c>
      <c r="C204" s="1" t="s">
        <v>5</v>
      </c>
      <c r="D204" s="1" t="s">
        <v>456</v>
      </c>
      <c r="E204" s="19">
        <v>44717.938194444447</v>
      </c>
      <c r="F204" s="1" t="s">
        <v>532</v>
      </c>
      <c r="G204" s="1" t="s">
        <v>482</v>
      </c>
      <c r="H204" s="4"/>
      <c r="I204" s="4">
        <v>2164</v>
      </c>
      <c r="J204" s="4"/>
      <c r="K204" s="5"/>
      <c r="L204" s="5"/>
      <c r="M204" s="11"/>
    </row>
    <row r="205" spans="1:13" x14ac:dyDescent="0.3">
      <c r="A205" s="1" t="s">
        <v>234</v>
      </c>
      <c r="B205" s="1" t="s">
        <v>235</v>
      </c>
      <c r="C205" s="1" t="s">
        <v>236</v>
      </c>
      <c r="D205" s="1" t="s">
        <v>456</v>
      </c>
      <c r="E205" s="19">
        <v>44717.919444444444</v>
      </c>
      <c r="F205" s="1" t="s">
        <v>532</v>
      </c>
      <c r="G205" s="1" t="s">
        <v>480</v>
      </c>
      <c r="H205" s="4"/>
      <c r="I205" s="4">
        <v>1485</v>
      </c>
      <c r="J205" s="4"/>
      <c r="K205" s="5"/>
      <c r="L205" s="5"/>
      <c r="M205" s="11"/>
    </row>
    <row r="206" spans="1:13" x14ac:dyDescent="0.3">
      <c r="A206" s="1" t="s">
        <v>229</v>
      </c>
      <c r="B206" s="1" t="s">
        <v>230</v>
      </c>
      <c r="C206" s="1" t="s">
        <v>226</v>
      </c>
      <c r="D206" s="1" t="s">
        <v>456</v>
      </c>
      <c r="E206" s="19">
        <v>44717.879861111112</v>
      </c>
      <c r="F206" s="1" t="s">
        <v>531</v>
      </c>
      <c r="G206" s="1" t="s">
        <v>480</v>
      </c>
      <c r="H206" s="4"/>
      <c r="I206" s="4">
        <v>2229</v>
      </c>
      <c r="J206" s="4"/>
      <c r="K206" s="5"/>
      <c r="L206" s="5"/>
      <c r="M206" s="11"/>
    </row>
    <row r="207" spans="1:13" x14ac:dyDescent="0.3">
      <c r="A207" s="1" t="s">
        <v>229</v>
      </c>
      <c r="B207" s="1" t="s">
        <v>230</v>
      </c>
      <c r="C207" s="1" t="s">
        <v>226</v>
      </c>
      <c r="D207" s="1" t="s">
        <v>456</v>
      </c>
      <c r="E207" s="19">
        <v>44717.879861111112</v>
      </c>
      <c r="F207" s="1" t="s">
        <v>532</v>
      </c>
      <c r="G207" s="1" t="s">
        <v>480</v>
      </c>
      <c r="H207" s="4"/>
      <c r="I207" s="4">
        <v>2229</v>
      </c>
      <c r="J207" s="4"/>
      <c r="K207" s="5"/>
      <c r="L207" s="5"/>
      <c r="M207" s="11"/>
    </row>
    <row r="208" spans="1:13" x14ac:dyDescent="0.3">
      <c r="A208" s="1" t="s">
        <v>223</v>
      </c>
      <c r="B208" s="1" t="s">
        <v>224</v>
      </c>
      <c r="C208" s="1" t="s">
        <v>226</v>
      </c>
      <c r="D208" s="1" t="s">
        <v>456</v>
      </c>
      <c r="E208" s="19">
        <v>44717.878472222219</v>
      </c>
      <c r="F208" s="1" t="s">
        <v>531</v>
      </c>
      <c r="G208" s="1" t="s">
        <v>480</v>
      </c>
      <c r="H208" s="4"/>
      <c r="I208" s="4">
        <v>2068</v>
      </c>
      <c r="J208" s="4"/>
      <c r="K208" s="5"/>
      <c r="L208" s="5"/>
      <c r="M208" s="11"/>
    </row>
    <row r="209" spans="1:13" x14ac:dyDescent="0.3">
      <c r="A209" s="1" t="s">
        <v>223</v>
      </c>
      <c r="B209" s="1" t="s">
        <v>224</v>
      </c>
      <c r="C209" s="1" t="s">
        <v>226</v>
      </c>
      <c r="D209" s="1" t="s">
        <v>456</v>
      </c>
      <c r="E209" s="19">
        <v>44717.878472222219</v>
      </c>
      <c r="F209" s="1" t="s">
        <v>532</v>
      </c>
      <c r="G209" s="1" t="s">
        <v>480</v>
      </c>
      <c r="H209" s="4"/>
      <c r="I209" s="4">
        <v>2068</v>
      </c>
      <c r="J209" s="4"/>
      <c r="K209" s="5"/>
      <c r="L209" s="5"/>
      <c r="M209" s="11"/>
    </row>
    <row r="210" spans="1:13" x14ac:dyDescent="0.3">
      <c r="A210" s="1" t="s">
        <v>101</v>
      </c>
      <c r="B210" s="1" t="s">
        <v>231</v>
      </c>
      <c r="C210" s="1" t="s">
        <v>102</v>
      </c>
      <c r="D210" s="1" t="s">
        <v>456</v>
      </c>
      <c r="E210" s="19">
        <v>44717.869444444441</v>
      </c>
      <c r="F210" s="1" t="s">
        <v>531</v>
      </c>
      <c r="G210" s="1" t="s">
        <v>480</v>
      </c>
      <c r="H210" s="4"/>
      <c r="I210" s="4">
        <v>2265</v>
      </c>
      <c r="J210" s="4"/>
      <c r="K210" s="5"/>
      <c r="L210" s="5"/>
      <c r="M210" s="11"/>
    </row>
    <row r="211" spans="1:13" x14ac:dyDescent="0.3">
      <c r="A211" s="1" t="s">
        <v>101</v>
      </c>
      <c r="B211" s="1" t="s">
        <v>231</v>
      </c>
      <c r="C211" s="1" t="s">
        <v>102</v>
      </c>
      <c r="D211" s="1" t="s">
        <v>456</v>
      </c>
      <c r="E211" s="19">
        <v>44717.869444444441</v>
      </c>
      <c r="F211" s="1" t="s">
        <v>532</v>
      </c>
      <c r="G211" s="1" t="s">
        <v>480</v>
      </c>
      <c r="H211" s="4"/>
      <c r="I211" s="4">
        <v>2265</v>
      </c>
      <c r="J211" s="4"/>
      <c r="K211" s="5" t="s">
        <v>288</v>
      </c>
      <c r="L211" s="5" t="s">
        <v>314</v>
      </c>
      <c r="M211" s="11"/>
    </row>
    <row r="212" spans="1:13" x14ac:dyDescent="0.3">
      <c r="A212" s="1" t="s">
        <v>232</v>
      </c>
      <c r="B212" s="1" t="s">
        <v>233</v>
      </c>
      <c r="C212" s="1" t="s">
        <v>6</v>
      </c>
      <c r="D212" s="1" t="s">
        <v>456</v>
      </c>
      <c r="E212" s="19">
        <v>44717.861111111109</v>
      </c>
      <c r="F212" s="1" t="s">
        <v>531</v>
      </c>
      <c r="G212" s="1" t="s">
        <v>480</v>
      </c>
      <c r="H212" s="4"/>
      <c r="I212" s="4">
        <v>2376</v>
      </c>
      <c r="J212" s="4"/>
      <c r="K212" s="5"/>
      <c r="L212" s="5"/>
      <c r="M212" s="11"/>
    </row>
    <row r="213" spans="1:13" x14ac:dyDescent="0.3">
      <c r="A213" s="1" t="s">
        <v>232</v>
      </c>
      <c r="B213" s="1" t="s">
        <v>233</v>
      </c>
      <c r="C213" s="1" t="s">
        <v>6</v>
      </c>
      <c r="D213" s="1" t="s">
        <v>456</v>
      </c>
      <c r="E213" s="19">
        <v>44717.861111111109</v>
      </c>
      <c r="F213" s="1" t="s">
        <v>532</v>
      </c>
      <c r="G213" s="1" t="s">
        <v>480</v>
      </c>
      <c r="H213" s="4"/>
      <c r="I213" s="4">
        <v>2376</v>
      </c>
      <c r="J213" s="4"/>
      <c r="K213" s="5"/>
      <c r="L213" s="5"/>
      <c r="M213" s="11"/>
    </row>
    <row r="214" spans="1:13" x14ac:dyDescent="0.3">
      <c r="A214" s="1" t="s">
        <v>222</v>
      </c>
      <c r="B214" s="1" t="s">
        <v>221</v>
      </c>
      <c r="C214" s="1" t="s">
        <v>5</v>
      </c>
      <c r="D214" s="1" t="s">
        <v>458</v>
      </c>
      <c r="E214" s="19">
        <v>44717.824305555558</v>
      </c>
      <c r="F214" s="1" t="s">
        <v>531</v>
      </c>
      <c r="G214" s="1" t="s">
        <v>480</v>
      </c>
      <c r="H214" s="4"/>
      <c r="I214" s="4">
        <v>1516</v>
      </c>
      <c r="J214" s="4"/>
      <c r="K214" s="5"/>
      <c r="L214" s="5"/>
      <c r="M214" s="11"/>
    </row>
    <row r="215" spans="1:13" x14ac:dyDescent="0.3">
      <c r="A215" s="1" t="s">
        <v>220</v>
      </c>
      <c r="B215" s="1" t="s">
        <v>225</v>
      </c>
      <c r="C215" s="1" t="s">
        <v>5</v>
      </c>
      <c r="D215" s="1" t="s">
        <v>458</v>
      </c>
      <c r="E215" s="19">
        <v>44717.819444444445</v>
      </c>
      <c r="F215" s="1" t="s">
        <v>531</v>
      </c>
      <c r="G215" s="1" t="s">
        <v>480</v>
      </c>
      <c r="H215" s="4"/>
      <c r="I215" s="4">
        <v>1531</v>
      </c>
      <c r="J215" s="4"/>
      <c r="K215" s="5"/>
      <c r="L215" s="5"/>
      <c r="M215" s="11"/>
    </row>
    <row r="216" spans="1:13" x14ac:dyDescent="0.3">
      <c r="A216" s="1" t="s">
        <v>287</v>
      </c>
      <c r="B216" s="1" t="s">
        <v>218</v>
      </c>
      <c r="C216" s="1" t="s">
        <v>5</v>
      </c>
      <c r="D216" s="1" t="s">
        <v>456</v>
      </c>
      <c r="E216" s="19">
        <v>44717.660416666666</v>
      </c>
      <c r="F216" s="1" t="s">
        <v>531</v>
      </c>
      <c r="G216" s="1" t="s">
        <v>480</v>
      </c>
      <c r="H216" s="4"/>
      <c r="I216" s="4">
        <v>2048</v>
      </c>
      <c r="J216" s="4"/>
      <c r="K216" s="5"/>
      <c r="L216" s="5"/>
      <c r="M216" s="11"/>
    </row>
    <row r="217" spans="1:13" x14ac:dyDescent="0.3">
      <c r="A217" s="1" t="s">
        <v>287</v>
      </c>
      <c r="B217" s="1" t="s">
        <v>218</v>
      </c>
      <c r="C217" s="1" t="s">
        <v>5</v>
      </c>
      <c r="D217" s="1" t="s">
        <v>456</v>
      </c>
      <c r="E217" s="19">
        <v>44717.660416666666</v>
      </c>
      <c r="F217" s="1" t="s">
        <v>532</v>
      </c>
      <c r="G217" s="1" t="s">
        <v>480</v>
      </c>
      <c r="H217" s="4"/>
      <c r="I217" s="4">
        <v>2048</v>
      </c>
      <c r="J217" s="4"/>
      <c r="K217" s="5"/>
      <c r="L217" s="5"/>
      <c r="M217" s="11"/>
    </row>
    <row r="218" spans="1:13" x14ac:dyDescent="0.3">
      <c r="A218" s="1" t="s">
        <v>125</v>
      </c>
      <c r="B218" s="1" t="s">
        <v>217</v>
      </c>
      <c r="C218" s="1" t="s">
        <v>32</v>
      </c>
      <c r="D218" s="1" t="s">
        <v>456</v>
      </c>
      <c r="E218" s="19">
        <v>44717.536805555559</v>
      </c>
      <c r="F218" s="1" t="s">
        <v>531</v>
      </c>
      <c r="G218" s="1" t="s">
        <v>480</v>
      </c>
      <c r="H218" s="4"/>
      <c r="I218" s="4">
        <v>2050</v>
      </c>
      <c r="J218" s="4"/>
      <c r="K218" s="5"/>
      <c r="L218" s="5"/>
      <c r="M218" s="11"/>
    </row>
    <row r="219" spans="1:13" x14ac:dyDescent="0.3">
      <c r="A219" s="1" t="s">
        <v>215</v>
      </c>
      <c r="B219" s="1" t="s">
        <v>216</v>
      </c>
      <c r="C219" s="1" t="s">
        <v>172</v>
      </c>
      <c r="D219" s="1" t="s">
        <v>456</v>
      </c>
      <c r="E219" s="19">
        <v>44716.847222222219</v>
      </c>
      <c r="F219" s="1" t="s">
        <v>532</v>
      </c>
      <c r="G219" s="1" t="s">
        <v>480</v>
      </c>
      <c r="H219" s="4"/>
      <c r="I219" s="4">
        <v>2269</v>
      </c>
      <c r="J219" s="4"/>
      <c r="K219" s="5"/>
      <c r="L219" s="5"/>
      <c r="M219" s="11"/>
    </row>
    <row r="220" spans="1:13" x14ac:dyDescent="0.3">
      <c r="A220" s="1" t="s">
        <v>126</v>
      </c>
      <c r="B220" s="1" t="s">
        <v>214</v>
      </c>
      <c r="C220" s="1" t="s">
        <v>5</v>
      </c>
      <c r="D220" s="1" t="s">
        <v>456</v>
      </c>
      <c r="E220" s="19">
        <v>44716.84375</v>
      </c>
      <c r="F220" s="1" t="s">
        <v>531</v>
      </c>
      <c r="G220" s="1" t="s">
        <v>480</v>
      </c>
      <c r="H220" s="4"/>
      <c r="I220" s="4">
        <v>2092</v>
      </c>
      <c r="J220" s="4"/>
      <c r="K220" s="5"/>
      <c r="L220" s="5"/>
      <c r="M220" s="11"/>
    </row>
    <row r="221" spans="1:13" x14ac:dyDescent="0.3">
      <c r="A221" s="1" t="s">
        <v>126</v>
      </c>
      <c r="B221" s="1" t="s">
        <v>214</v>
      </c>
      <c r="C221" s="1" t="s">
        <v>5</v>
      </c>
      <c r="D221" s="1" t="s">
        <v>456</v>
      </c>
      <c r="E221" s="19">
        <v>44716.84375</v>
      </c>
      <c r="F221" s="1" t="s">
        <v>532</v>
      </c>
      <c r="G221" s="1" t="s">
        <v>480</v>
      </c>
      <c r="H221" s="4"/>
      <c r="I221" s="4">
        <v>2092</v>
      </c>
      <c r="J221" s="4"/>
      <c r="K221" s="5"/>
      <c r="L221" s="5"/>
      <c r="M221" s="11"/>
    </row>
    <row r="222" spans="1:13" x14ac:dyDescent="0.3">
      <c r="A222" s="1" t="s">
        <v>215</v>
      </c>
      <c r="B222" s="1" t="s">
        <v>216</v>
      </c>
      <c r="C222" s="1" t="s">
        <v>172</v>
      </c>
      <c r="D222" s="1" t="s">
        <v>456</v>
      </c>
      <c r="E222" s="19">
        <v>44716.841666666667</v>
      </c>
      <c r="F222" s="1" t="s">
        <v>531</v>
      </c>
      <c r="G222" s="1" t="s">
        <v>480</v>
      </c>
      <c r="H222" s="4"/>
      <c r="I222" s="4">
        <v>2269</v>
      </c>
      <c r="J222" s="4"/>
      <c r="K222" s="5"/>
      <c r="L222" s="5"/>
      <c r="M222" s="11"/>
    </row>
    <row r="223" spans="1:13" x14ac:dyDescent="0.3">
      <c r="A223" s="1" t="s">
        <v>212</v>
      </c>
      <c r="B223" s="1" t="s">
        <v>213</v>
      </c>
      <c r="C223" s="1" t="s">
        <v>5</v>
      </c>
      <c r="D223" s="1" t="s">
        <v>456</v>
      </c>
      <c r="E223" s="19">
        <v>44716.684027777781</v>
      </c>
      <c r="F223" s="1" t="s">
        <v>531</v>
      </c>
      <c r="G223" s="1" t="s">
        <v>480</v>
      </c>
      <c r="H223" s="4"/>
      <c r="I223" s="4">
        <v>1913</v>
      </c>
      <c r="J223" s="4"/>
      <c r="K223" s="5"/>
      <c r="L223" s="5"/>
      <c r="M223" s="11"/>
    </row>
    <row r="224" spans="1:13" x14ac:dyDescent="0.3">
      <c r="A224" s="1" t="s">
        <v>278</v>
      </c>
      <c r="B224" s="1" t="s">
        <v>208</v>
      </c>
      <c r="C224" s="1" t="s">
        <v>55</v>
      </c>
      <c r="D224" s="1" t="s">
        <v>458</v>
      </c>
      <c r="E224" s="19">
        <v>44715.844444444447</v>
      </c>
      <c r="F224" s="1" t="s">
        <v>531</v>
      </c>
      <c r="G224" s="1" t="s">
        <v>480</v>
      </c>
      <c r="H224" s="4"/>
      <c r="I224" s="4"/>
      <c r="J224" s="4"/>
      <c r="K224" s="5"/>
      <c r="L224" s="5"/>
      <c r="M224" s="11"/>
    </row>
    <row r="225" spans="1:13" x14ac:dyDescent="0.3">
      <c r="A225" s="1" t="s">
        <v>277</v>
      </c>
      <c r="B225" s="1" t="s">
        <v>209</v>
      </c>
      <c r="C225" s="1" t="s">
        <v>55</v>
      </c>
      <c r="D225" s="1" t="s">
        <v>458</v>
      </c>
      <c r="E225" s="19">
        <v>44715.844444444447</v>
      </c>
      <c r="F225" s="1" t="s">
        <v>531</v>
      </c>
      <c r="G225" s="1" t="s">
        <v>480</v>
      </c>
      <c r="H225" s="4"/>
      <c r="I225" s="4"/>
      <c r="J225" s="4"/>
      <c r="K225" s="5"/>
      <c r="L225" s="5"/>
      <c r="M225" s="11"/>
    </row>
    <row r="226" spans="1:13" x14ac:dyDescent="0.3">
      <c r="A226" s="1" t="s">
        <v>119</v>
      </c>
      <c r="B226" s="1" t="s">
        <v>207</v>
      </c>
      <c r="C226" s="1" t="s">
        <v>1</v>
      </c>
      <c r="D226" s="1" t="s">
        <v>456</v>
      </c>
      <c r="E226" s="19">
        <v>44715.702777777777</v>
      </c>
      <c r="F226" s="1" t="s">
        <v>532</v>
      </c>
      <c r="G226" s="1" t="s">
        <v>480</v>
      </c>
      <c r="H226" s="4"/>
      <c r="I226" s="4">
        <v>2587</v>
      </c>
      <c r="J226" s="4"/>
      <c r="K226" s="5" t="s">
        <v>288</v>
      </c>
      <c r="L226" s="5" t="s">
        <v>315</v>
      </c>
      <c r="M226" s="11"/>
    </row>
    <row r="227" spans="1:13" x14ac:dyDescent="0.3">
      <c r="A227" s="1" t="s">
        <v>279</v>
      </c>
      <c r="B227" s="1" t="s">
        <v>204</v>
      </c>
      <c r="C227" s="1" t="s">
        <v>55</v>
      </c>
      <c r="D227" s="1" t="s">
        <v>456</v>
      </c>
      <c r="E227" s="19">
        <v>44715.603472222225</v>
      </c>
      <c r="F227" s="1" t="s">
        <v>531</v>
      </c>
      <c r="G227" s="1" t="s">
        <v>480</v>
      </c>
      <c r="H227" s="4"/>
      <c r="I227" s="4"/>
      <c r="J227" s="4">
        <v>3</v>
      </c>
      <c r="K227" s="5"/>
      <c r="L227" s="5"/>
      <c r="M227" s="11"/>
    </row>
    <row r="228" spans="1:13" x14ac:dyDescent="0.3">
      <c r="A228" s="1" t="s">
        <v>279</v>
      </c>
      <c r="B228" s="1" t="s">
        <v>204</v>
      </c>
      <c r="C228" s="1" t="s">
        <v>55</v>
      </c>
      <c r="D228" s="1" t="s">
        <v>456</v>
      </c>
      <c r="E228" s="19">
        <v>44715.603472222225</v>
      </c>
      <c r="F228" s="1" t="s">
        <v>532</v>
      </c>
      <c r="G228" s="1" t="s">
        <v>480</v>
      </c>
      <c r="H228" s="4"/>
      <c r="I228" s="4"/>
      <c r="J228" s="4">
        <v>3</v>
      </c>
      <c r="K228" s="5"/>
      <c r="L228" s="5"/>
      <c r="M228" s="11"/>
    </row>
    <row r="229" spans="1:13" x14ac:dyDescent="0.3">
      <c r="A229" s="1" t="s">
        <v>280</v>
      </c>
      <c r="B229" s="1" t="s">
        <v>205</v>
      </c>
      <c r="C229" s="1" t="s">
        <v>55</v>
      </c>
      <c r="D229" s="1" t="s">
        <v>456</v>
      </c>
      <c r="E229" s="19">
        <v>44715.602777777778</v>
      </c>
      <c r="F229" s="1" t="s">
        <v>531</v>
      </c>
      <c r="G229" s="1" t="s">
        <v>480</v>
      </c>
      <c r="H229" s="4"/>
      <c r="I229" s="4"/>
      <c r="J229" s="4"/>
      <c r="K229" s="5"/>
      <c r="L229" s="5"/>
      <c r="M229" s="11"/>
    </row>
    <row r="230" spans="1:13" x14ac:dyDescent="0.3">
      <c r="A230" s="1" t="s">
        <v>281</v>
      </c>
      <c r="B230" s="1" t="s">
        <v>206</v>
      </c>
      <c r="C230" s="1" t="s">
        <v>26</v>
      </c>
      <c r="D230" s="1" t="s">
        <v>456</v>
      </c>
      <c r="E230" s="19">
        <v>44715.602083333331</v>
      </c>
      <c r="F230" s="1" t="s">
        <v>531</v>
      </c>
      <c r="G230" s="1" t="s">
        <v>480</v>
      </c>
      <c r="H230" s="4"/>
      <c r="I230" s="4">
        <v>1685</v>
      </c>
      <c r="J230" s="4"/>
      <c r="K230" s="5"/>
      <c r="L230" s="5"/>
      <c r="M230" s="11"/>
    </row>
    <row r="231" spans="1:13" x14ac:dyDescent="0.3">
      <c r="A231" s="1" t="s">
        <v>281</v>
      </c>
      <c r="B231" s="1" t="s">
        <v>206</v>
      </c>
      <c r="C231" s="1" t="s">
        <v>26</v>
      </c>
      <c r="D231" s="1" t="s">
        <v>456</v>
      </c>
      <c r="E231" s="19">
        <v>44715.602083333331</v>
      </c>
      <c r="F231" s="1" t="s">
        <v>532</v>
      </c>
      <c r="G231" s="1" t="s">
        <v>480</v>
      </c>
      <c r="H231" s="4"/>
      <c r="I231" s="4">
        <v>1685</v>
      </c>
      <c r="J231" s="4"/>
      <c r="K231" s="5" t="s">
        <v>289</v>
      </c>
      <c r="L231" s="5" t="s">
        <v>313</v>
      </c>
      <c r="M231" s="11">
        <v>360</v>
      </c>
    </row>
    <row r="232" spans="1:13" x14ac:dyDescent="0.3">
      <c r="A232" s="1" t="s">
        <v>202</v>
      </c>
      <c r="B232" s="1" t="s">
        <v>203</v>
      </c>
      <c r="C232" s="1" t="s">
        <v>175</v>
      </c>
      <c r="D232" s="1" t="s">
        <v>456</v>
      </c>
      <c r="E232" s="19">
        <v>44713.955555555556</v>
      </c>
      <c r="F232" s="1" t="s">
        <v>532</v>
      </c>
      <c r="G232" s="1" t="s">
        <v>482</v>
      </c>
      <c r="H232" s="4"/>
      <c r="I232" s="4">
        <v>1717</v>
      </c>
      <c r="J232" s="4"/>
      <c r="K232" s="5"/>
      <c r="L232" s="5"/>
      <c r="M232" s="11"/>
    </row>
    <row r="233" spans="1:13" x14ac:dyDescent="0.3">
      <c r="A233" s="1" t="s">
        <v>200</v>
      </c>
      <c r="B233" s="1" t="s">
        <v>201</v>
      </c>
      <c r="C233" s="1" t="s">
        <v>175</v>
      </c>
      <c r="D233" s="1" t="s">
        <v>456</v>
      </c>
      <c r="E233" s="19">
        <v>44713.90902777778</v>
      </c>
      <c r="F233" s="1" t="s">
        <v>532</v>
      </c>
      <c r="G233" s="1" t="s">
        <v>480</v>
      </c>
      <c r="H233" s="4"/>
      <c r="I233" s="4">
        <v>1867</v>
      </c>
      <c r="J233" s="4"/>
      <c r="K233" s="5"/>
      <c r="L233" s="5"/>
      <c r="M233" s="11"/>
    </row>
    <row r="234" spans="1:13" x14ac:dyDescent="0.3">
      <c r="A234" s="1" t="s">
        <v>112</v>
      </c>
      <c r="B234" s="1" t="s">
        <v>113</v>
      </c>
      <c r="C234" s="1" t="s">
        <v>32</v>
      </c>
      <c r="D234" s="1" t="s">
        <v>456</v>
      </c>
      <c r="E234" s="19">
        <v>44713.765277777777</v>
      </c>
      <c r="F234" s="1" t="s">
        <v>531</v>
      </c>
      <c r="G234" s="1" t="s">
        <v>480</v>
      </c>
      <c r="H234" s="4"/>
      <c r="I234" s="4">
        <v>2352</v>
      </c>
      <c r="J234" s="4"/>
      <c r="K234" s="5"/>
      <c r="L234" s="5"/>
      <c r="M234" s="11"/>
    </row>
    <row r="235" spans="1:13" x14ac:dyDescent="0.3">
      <c r="A235" s="1" t="s">
        <v>112</v>
      </c>
      <c r="B235" s="1" t="s">
        <v>113</v>
      </c>
      <c r="C235" s="1" t="s">
        <v>32</v>
      </c>
      <c r="D235" s="1" t="s">
        <v>456</v>
      </c>
      <c r="E235" s="19">
        <v>44713.765277777777</v>
      </c>
      <c r="F235" s="1" t="s">
        <v>532</v>
      </c>
      <c r="G235" s="1" t="s">
        <v>480</v>
      </c>
      <c r="H235" s="4"/>
      <c r="I235" s="4">
        <v>2352</v>
      </c>
      <c r="J235" s="4"/>
      <c r="K235" s="5" t="s">
        <v>288</v>
      </c>
      <c r="L235" s="5" t="s">
        <v>312</v>
      </c>
      <c r="M235" s="11">
        <v>1080</v>
      </c>
    </row>
    <row r="236" spans="1:13" x14ac:dyDescent="0.3">
      <c r="A236" s="1" t="s">
        <v>282</v>
      </c>
      <c r="B236" s="1" t="s">
        <v>149</v>
      </c>
      <c r="C236" s="1" t="s">
        <v>55</v>
      </c>
      <c r="D236" s="1" t="s">
        <v>456</v>
      </c>
      <c r="E236" s="19">
        <v>44713.481249999997</v>
      </c>
      <c r="F236" s="1" t="s">
        <v>531</v>
      </c>
      <c r="G236" s="1" t="s">
        <v>480</v>
      </c>
      <c r="H236" s="4"/>
      <c r="I236" s="4"/>
      <c r="J236" s="4">
        <v>2</v>
      </c>
      <c r="K236" s="5"/>
      <c r="L236" s="5"/>
      <c r="M236" s="11"/>
    </row>
    <row r="237" spans="1:13" x14ac:dyDescent="0.3">
      <c r="A237" s="1" t="s">
        <v>283</v>
      </c>
      <c r="B237" s="1" t="s">
        <v>266</v>
      </c>
      <c r="C237" s="1" t="s">
        <v>55</v>
      </c>
      <c r="D237" s="1" t="s">
        <v>456</v>
      </c>
      <c r="E237" s="19">
        <v>44711.988888888889</v>
      </c>
      <c r="F237" s="1" t="s">
        <v>532</v>
      </c>
      <c r="G237" s="1" t="s">
        <v>482</v>
      </c>
      <c r="H237" s="4"/>
      <c r="I237" s="4"/>
      <c r="J237" s="4">
        <v>5</v>
      </c>
      <c r="K237" s="5"/>
      <c r="L237" s="5"/>
      <c r="M237" s="11"/>
    </row>
    <row r="238" spans="1:13" x14ac:dyDescent="0.3">
      <c r="A238" s="1" t="s">
        <v>191</v>
      </c>
      <c r="B238" s="1" t="s">
        <v>192</v>
      </c>
      <c r="C238" s="1" t="s">
        <v>172</v>
      </c>
      <c r="D238" s="1" t="s">
        <v>458</v>
      </c>
      <c r="E238" s="19">
        <v>44710.816666666666</v>
      </c>
      <c r="F238" s="1" t="s">
        <v>531</v>
      </c>
      <c r="G238" s="1" t="s">
        <v>480</v>
      </c>
      <c r="H238" s="4"/>
      <c r="I238" s="4">
        <v>2187</v>
      </c>
      <c r="J238" s="4"/>
      <c r="K238" s="5"/>
      <c r="L238" s="5"/>
      <c r="M238" s="11"/>
    </row>
    <row r="239" spans="1:13" x14ac:dyDescent="0.3">
      <c r="A239" s="1" t="s">
        <v>117</v>
      </c>
      <c r="B239" s="1" t="s">
        <v>118</v>
      </c>
      <c r="C239" s="1" t="s">
        <v>5</v>
      </c>
      <c r="D239" s="1" t="s">
        <v>458</v>
      </c>
      <c r="E239" s="19">
        <v>44710.638888888891</v>
      </c>
      <c r="F239" s="1" t="s">
        <v>531</v>
      </c>
      <c r="G239" s="1" t="s">
        <v>480</v>
      </c>
      <c r="H239" s="4"/>
      <c r="I239" s="4">
        <v>2295</v>
      </c>
      <c r="J239" s="4"/>
      <c r="K239" s="5"/>
      <c r="L239" s="5"/>
      <c r="M239" s="11"/>
    </row>
    <row r="240" spans="1:13" x14ac:dyDescent="0.3">
      <c r="A240" s="1" t="s">
        <v>189</v>
      </c>
      <c r="B240" s="1" t="s">
        <v>190</v>
      </c>
      <c r="C240" s="1" t="s">
        <v>193</v>
      </c>
      <c r="D240" s="1" t="s">
        <v>456</v>
      </c>
      <c r="E240" s="19">
        <v>44709.570138888892</v>
      </c>
      <c r="F240" s="1" t="s">
        <v>532</v>
      </c>
      <c r="G240" s="1" t="s">
        <v>482</v>
      </c>
      <c r="H240" s="4"/>
      <c r="I240" s="4">
        <v>2803</v>
      </c>
      <c r="J240" s="4"/>
      <c r="K240" s="5"/>
      <c r="L240" s="5"/>
      <c r="M240" s="11"/>
    </row>
    <row r="241" spans="1:13" x14ac:dyDescent="0.3">
      <c r="A241" s="1" t="s">
        <v>189</v>
      </c>
      <c r="B241" s="1" t="s">
        <v>190</v>
      </c>
      <c r="C241" s="1" t="s">
        <v>193</v>
      </c>
      <c r="D241" s="1" t="s">
        <v>456</v>
      </c>
      <c r="E241" s="19">
        <v>44709.567361111112</v>
      </c>
      <c r="F241" s="1" t="s">
        <v>531</v>
      </c>
      <c r="G241" s="1" t="s">
        <v>482</v>
      </c>
      <c r="H241" s="4"/>
      <c r="I241" s="4">
        <v>2803</v>
      </c>
      <c r="J241" s="4"/>
      <c r="K241" s="5"/>
      <c r="L241" s="5"/>
      <c r="M241" s="11"/>
    </row>
    <row r="242" spans="1:13" x14ac:dyDescent="0.3">
      <c r="A242" s="1" t="s">
        <v>187</v>
      </c>
      <c r="B242" s="1" t="s">
        <v>188</v>
      </c>
      <c r="C242" s="1" t="s">
        <v>5</v>
      </c>
      <c r="D242" s="1" t="s">
        <v>456</v>
      </c>
      <c r="E242" s="19">
        <v>44708.784722222219</v>
      </c>
      <c r="F242" s="1" t="s">
        <v>532</v>
      </c>
      <c r="G242" s="1" t="s">
        <v>480</v>
      </c>
      <c r="H242" s="4"/>
      <c r="I242" s="4">
        <v>1790</v>
      </c>
      <c r="J242" s="4"/>
      <c r="K242" s="5"/>
      <c r="L242" s="5"/>
      <c r="M242" s="11"/>
    </row>
    <row r="243" spans="1:13" x14ac:dyDescent="0.3">
      <c r="A243" s="1" t="s">
        <v>80</v>
      </c>
      <c r="B243" s="1" t="s">
        <v>47</v>
      </c>
      <c r="C243" s="1" t="s">
        <v>5</v>
      </c>
      <c r="D243" s="1" t="s">
        <v>456</v>
      </c>
      <c r="E243" s="19">
        <v>44708.69027777778</v>
      </c>
      <c r="F243" s="1" t="s">
        <v>532</v>
      </c>
      <c r="G243" s="1" t="s">
        <v>480</v>
      </c>
      <c r="H243" s="4"/>
      <c r="I243" s="4">
        <v>2042</v>
      </c>
      <c r="J243" s="4"/>
      <c r="K243" s="5"/>
      <c r="L243" s="5"/>
      <c r="M243" s="11"/>
    </row>
    <row r="244" spans="1:13" x14ac:dyDescent="0.3">
      <c r="A244" s="1" t="s">
        <v>130</v>
      </c>
      <c r="B244" s="1" t="s">
        <v>131</v>
      </c>
      <c r="C244" s="1" t="s">
        <v>2</v>
      </c>
      <c r="D244" s="1" t="s">
        <v>456</v>
      </c>
      <c r="E244" s="19">
        <v>44708.527777777781</v>
      </c>
      <c r="F244" s="1" t="s">
        <v>532</v>
      </c>
      <c r="G244" s="1" t="s">
        <v>480</v>
      </c>
      <c r="H244" s="4"/>
      <c r="I244" s="4">
        <v>1363</v>
      </c>
      <c r="J244" s="4"/>
      <c r="K244" s="5"/>
      <c r="L244" s="5"/>
      <c r="M244" s="11"/>
    </row>
    <row r="245" spans="1:13" x14ac:dyDescent="0.3">
      <c r="A245" s="1" t="s">
        <v>132</v>
      </c>
      <c r="B245" s="1" t="s">
        <v>133</v>
      </c>
      <c r="C245" s="1" t="s">
        <v>2</v>
      </c>
      <c r="D245" s="1" t="s">
        <v>456</v>
      </c>
      <c r="E245" s="19">
        <v>44708.524305555555</v>
      </c>
      <c r="F245" s="1" t="s">
        <v>532</v>
      </c>
      <c r="G245" s="1" t="s">
        <v>480</v>
      </c>
      <c r="H245" s="4"/>
      <c r="I245" s="4">
        <v>1166</v>
      </c>
      <c r="J245" s="4"/>
      <c r="K245" s="5"/>
      <c r="L245" s="5"/>
      <c r="M245" s="11"/>
    </row>
    <row r="246" spans="1:13" x14ac:dyDescent="0.3">
      <c r="A246" s="1" t="s">
        <v>128</v>
      </c>
      <c r="B246" s="1" t="s">
        <v>129</v>
      </c>
      <c r="C246" s="1" t="s">
        <v>2</v>
      </c>
      <c r="D246" s="1" t="s">
        <v>456</v>
      </c>
      <c r="E246" s="19">
        <v>44708.522222222222</v>
      </c>
      <c r="F246" s="1" t="s">
        <v>532</v>
      </c>
      <c r="G246" s="1" t="s">
        <v>480</v>
      </c>
      <c r="H246" s="4"/>
      <c r="I246" s="4">
        <v>2413</v>
      </c>
      <c r="J246" s="4"/>
      <c r="K246" s="5" t="s">
        <v>288</v>
      </c>
      <c r="L246" s="5" t="s">
        <v>317</v>
      </c>
      <c r="M246" s="11"/>
    </row>
    <row r="247" spans="1:13" x14ac:dyDescent="0.3">
      <c r="A247" s="1" t="s">
        <v>284</v>
      </c>
      <c r="B247" s="1" t="s">
        <v>186</v>
      </c>
      <c r="C247" s="1" t="s">
        <v>5</v>
      </c>
      <c r="D247" s="1" t="s">
        <v>456</v>
      </c>
      <c r="E247" s="19">
        <v>44704.757638888892</v>
      </c>
      <c r="F247" s="1" t="s">
        <v>532</v>
      </c>
      <c r="G247" s="1" t="s">
        <v>480</v>
      </c>
      <c r="H247" s="4"/>
      <c r="I247" s="4">
        <v>1067</v>
      </c>
      <c r="J247" s="4"/>
      <c r="K247" s="5"/>
      <c r="L247" s="5"/>
      <c r="M247" s="11"/>
    </row>
    <row r="248" spans="1:13" x14ac:dyDescent="0.3">
      <c r="A248" s="1" t="s">
        <v>180</v>
      </c>
      <c r="B248" s="1" t="s">
        <v>182</v>
      </c>
      <c r="C248" s="1" t="s">
        <v>181</v>
      </c>
      <c r="D248" s="1" t="s">
        <v>456</v>
      </c>
      <c r="E248" s="19">
        <v>44702.731944444444</v>
      </c>
      <c r="F248" s="1" t="s">
        <v>532</v>
      </c>
      <c r="G248" s="1" t="s">
        <v>480</v>
      </c>
      <c r="H248" s="4"/>
      <c r="I248" s="4">
        <v>1491</v>
      </c>
      <c r="J248" s="4"/>
      <c r="K248" s="5"/>
      <c r="L248" s="5"/>
      <c r="M248" s="11"/>
    </row>
    <row r="249" spans="1:13" x14ac:dyDescent="0.3">
      <c r="A249" s="1" t="s">
        <v>282</v>
      </c>
      <c r="B249" s="1" t="s">
        <v>149</v>
      </c>
      <c r="C249" s="1" t="s">
        <v>55</v>
      </c>
      <c r="D249" s="1" t="s">
        <v>456</v>
      </c>
      <c r="E249" s="19">
        <v>44702.537499999999</v>
      </c>
      <c r="F249" s="1" t="s">
        <v>532</v>
      </c>
      <c r="G249" s="1" t="s">
        <v>480</v>
      </c>
      <c r="H249" s="4"/>
      <c r="I249" s="4"/>
      <c r="J249" s="4">
        <v>2</v>
      </c>
      <c r="K249" s="5"/>
      <c r="L249" s="5"/>
      <c r="M249" s="11"/>
    </row>
    <row r="250" spans="1:13" x14ac:dyDescent="0.3">
      <c r="A250" s="1" t="s">
        <v>70</v>
      </c>
      <c r="B250" s="1" t="s">
        <v>82</v>
      </c>
      <c r="C250" s="1" t="s">
        <v>2</v>
      </c>
      <c r="D250" s="1" t="s">
        <v>456</v>
      </c>
      <c r="E250" s="19">
        <v>44701.754861111112</v>
      </c>
      <c r="F250" s="1" t="s">
        <v>531</v>
      </c>
      <c r="G250" s="1" t="s">
        <v>480</v>
      </c>
      <c r="H250" s="4">
        <v>3</v>
      </c>
      <c r="I250" s="4">
        <v>2553</v>
      </c>
      <c r="J250" s="4"/>
      <c r="K250" s="5"/>
      <c r="L250" s="5"/>
      <c r="M250" s="11"/>
    </row>
    <row r="251" spans="1:13" x14ac:dyDescent="0.3">
      <c r="A251" s="1" t="s">
        <v>70</v>
      </c>
      <c r="B251" s="1" t="s">
        <v>82</v>
      </c>
      <c r="C251" s="1" t="s">
        <v>2</v>
      </c>
      <c r="D251" s="1" t="s">
        <v>456</v>
      </c>
      <c r="E251" s="19">
        <v>44701.754861111112</v>
      </c>
      <c r="F251" s="1" t="s">
        <v>532</v>
      </c>
      <c r="G251" s="1" t="s">
        <v>480</v>
      </c>
      <c r="H251" s="4">
        <v>3</v>
      </c>
      <c r="I251" s="4">
        <v>2553</v>
      </c>
      <c r="J251" s="4"/>
      <c r="K251" s="5" t="s">
        <v>288</v>
      </c>
      <c r="L251" s="5" t="s">
        <v>311</v>
      </c>
      <c r="M251" s="11">
        <v>720</v>
      </c>
    </row>
    <row r="252" spans="1:13" x14ac:dyDescent="0.3">
      <c r="A252" s="1" t="s">
        <v>120</v>
      </c>
      <c r="B252" s="1" t="s">
        <v>121</v>
      </c>
      <c r="C252" s="1" t="s">
        <v>1</v>
      </c>
      <c r="D252" s="1" t="s">
        <v>456</v>
      </c>
      <c r="E252" s="19">
        <v>44701.75</v>
      </c>
      <c r="F252" s="1" t="s">
        <v>531</v>
      </c>
      <c r="G252" s="1" t="s">
        <v>480</v>
      </c>
      <c r="H252" s="4"/>
      <c r="I252" s="4">
        <v>2381</v>
      </c>
      <c r="J252" s="4"/>
      <c r="K252" s="5"/>
      <c r="L252" s="5"/>
      <c r="M252" s="11"/>
    </row>
    <row r="253" spans="1:13" x14ac:dyDescent="0.3">
      <c r="A253" s="1" t="s">
        <v>120</v>
      </c>
      <c r="B253" s="1" t="s">
        <v>121</v>
      </c>
      <c r="C253" s="1" t="s">
        <v>1</v>
      </c>
      <c r="D253" s="1" t="s">
        <v>456</v>
      </c>
      <c r="E253" s="19">
        <v>44701.75</v>
      </c>
      <c r="F253" s="1" t="s">
        <v>532</v>
      </c>
      <c r="G253" s="1" t="s">
        <v>480</v>
      </c>
      <c r="H253" s="4"/>
      <c r="I253" s="4">
        <v>2381</v>
      </c>
      <c r="J253" s="4"/>
      <c r="K253" s="5"/>
      <c r="L253" s="5"/>
      <c r="M253" s="11"/>
    </row>
    <row r="254" spans="1:13" x14ac:dyDescent="0.3">
      <c r="A254" s="1" t="s">
        <v>62</v>
      </c>
      <c r="B254" s="1" t="s">
        <v>17</v>
      </c>
      <c r="C254" s="1" t="s">
        <v>1</v>
      </c>
      <c r="D254" s="1" t="s">
        <v>456</v>
      </c>
      <c r="E254" s="19">
        <v>44696.911805555559</v>
      </c>
      <c r="F254" s="1" t="s">
        <v>531</v>
      </c>
      <c r="G254" s="1" t="s">
        <v>480</v>
      </c>
      <c r="H254" s="4">
        <v>2</v>
      </c>
      <c r="I254" s="4">
        <v>2362</v>
      </c>
      <c r="J254" s="4"/>
      <c r="K254" s="5"/>
      <c r="L254" s="5"/>
      <c r="M254" s="11"/>
    </row>
    <row r="255" spans="1:13" x14ac:dyDescent="0.3">
      <c r="A255" s="1" t="s">
        <v>62</v>
      </c>
      <c r="B255" s="1" t="s">
        <v>17</v>
      </c>
      <c r="C255" s="1" t="s">
        <v>1</v>
      </c>
      <c r="D255" s="1" t="s">
        <v>456</v>
      </c>
      <c r="E255" s="19">
        <v>44696.911805555559</v>
      </c>
      <c r="F255" s="1" t="s">
        <v>532</v>
      </c>
      <c r="G255" s="1" t="s">
        <v>480</v>
      </c>
      <c r="H255" s="4">
        <v>2</v>
      </c>
      <c r="I255" s="4">
        <v>2362</v>
      </c>
      <c r="J255" s="4"/>
      <c r="K255" s="5" t="s">
        <v>288</v>
      </c>
      <c r="L255" s="5" t="s">
        <v>313</v>
      </c>
      <c r="M255" s="11">
        <v>1800</v>
      </c>
    </row>
    <row r="256" spans="1:13" x14ac:dyDescent="0.3">
      <c r="A256" s="1" t="s">
        <v>80</v>
      </c>
      <c r="B256" s="1" t="s">
        <v>47</v>
      </c>
      <c r="C256" s="1" t="s">
        <v>5</v>
      </c>
      <c r="D256" s="1" t="s">
        <v>456</v>
      </c>
      <c r="E256" s="19">
        <v>44693.757638888892</v>
      </c>
      <c r="F256" s="1" t="s">
        <v>531</v>
      </c>
      <c r="G256" s="1" t="s">
        <v>480</v>
      </c>
      <c r="H256" s="4"/>
      <c r="I256" s="4">
        <v>2042</v>
      </c>
      <c r="J256" s="4"/>
      <c r="K256" s="5"/>
      <c r="L256" s="5"/>
      <c r="M256" s="11"/>
    </row>
    <row r="257" spans="1:13" x14ac:dyDescent="0.3">
      <c r="A257" s="1" t="s">
        <v>75</v>
      </c>
      <c r="B257" s="1" t="s">
        <v>16</v>
      </c>
      <c r="C257" s="1" t="s">
        <v>4</v>
      </c>
      <c r="D257" s="1" t="s">
        <v>456</v>
      </c>
      <c r="E257" s="19">
        <v>44691.591666666667</v>
      </c>
      <c r="F257" s="1" t="s">
        <v>532</v>
      </c>
      <c r="G257" s="1" t="s">
        <v>480</v>
      </c>
      <c r="H257" s="4"/>
      <c r="I257" s="4">
        <v>2455</v>
      </c>
      <c r="J257" s="4"/>
      <c r="K257" s="5" t="s">
        <v>288</v>
      </c>
      <c r="L257" s="5" t="s">
        <v>316</v>
      </c>
      <c r="M257" s="11"/>
    </row>
    <row r="258" spans="1:13" x14ac:dyDescent="0.3">
      <c r="A258" s="1" t="s">
        <v>110</v>
      </c>
      <c r="B258" s="1" t="s">
        <v>111</v>
      </c>
      <c r="C258" s="1" t="s">
        <v>1</v>
      </c>
      <c r="D258" s="1" t="s">
        <v>456</v>
      </c>
      <c r="E258" s="19">
        <v>44684.895138888889</v>
      </c>
      <c r="F258" s="1" t="s">
        <v>532</v>
      </c>
      <c r="G258" s="1" t="s">
        <v>480</v>
      </c>
      <c r="H258" s="4"/>
      <c r="I258" s="4">
        <v>2369</v>
      </c>
      <c r="J258" s="4"/>
      <c r="K258" s="5"/>
      <c r="L258" s="5"/>
      <c r="M258" s="11"/>
    </row>
    <row r="259" spans="1:13" x14ac:dyDescent="0.3">
      <c r="A259" s="1" t="s">
        <v>110</v>
      </c>
      <c r="B259" s="1" t="s">
        <v>111</v>
      </c>
      <c r="C259" s="1" t="s">
        <v>1</v>
      </c>
      <c r="D259" s="1" t="s">
        <v>456</v>
      </c>
      <c r="E259" s="19">
        <v>44684.89166666667</v>
      </c>
      <c r="F259" s="1" t="s">
        <v>531</v>
      </c>
      <c r="G259" s="1" t="s">
        <v>480</v>
      </c>
      <c r="H259" s="4"/>
      <c r="I259" s="4">
        <v>2369</v>
      </c>
      <c r="J259" s="4"/>
      <c r="K259" s="5"/>
      <c r="L259" s="5"/>
      <c r="M259" s="11"/>
    </row>
    <row r="260" spans="1:13" x14ac:dyDescent="0.3">
      <c r="A260" s="1" t="s">
        <v>285</v>
      </c>
      <c r="B260" s="1" t="s">
        <v>116</v>
      </c>
      <c r="C260" s="1" t="s">
        <v>55</v>
      </c>
      <c r="D260" s="1" t="s">
        <v>456</v>
      </c>
      <c r="E260" s="19">
        <v>44681.845833333333</v>
      </c>
      <c r="F260" s="1" t="s">
        <v>531</v>
      </c>
      <c r="G260" s="1" t="s">
        <v>480</v>
      </c>
      <c r="H260" s="4"/>
      <c r="I260" s="4"/>
      <c r="J260" s="4">
        <v>1</v>
      </c>
      <c r="K260" s="5"/>
      <c r="L260" s="5"/>
      <c r="M260" s="11"/>
    </row>
    <row r="261" spans="1:13" x14ac:dyDescent="0.3">
      <c r="A261" s="1" t="s">
        <v>285</v>
      </c>
      <c r="B261" s="1" t="s">
        <v>116</v>
      </c>
      <c r="C261" s="1" t="s">
        <v>55</v>
      </c>
      <c r="D261" s="1" t="s">
        <v>456</v>
      </c>
      <c r="E261" s="19">
        <v>44681.845833333333</v>
      </c>
      <c r="F261" s="1" t="s">
        <v>532</v>
      </c>
      <c r="G261" s="1" t="s">
        <v>480</v>
      </c>
      <c r="H261" s="4"/>
      <c r="I261" s="4"/>
      <c r="J261" s="4">
        <v>1</v>
      </c>
      <c r="K261" s="5"/>
      <c r="L261" s="5"/>
      <c r="M261" s="11"/>
    </row>
    <row r="262" spans="1:13" x14ac:dyDescent="0.3">
      <c r="A262" s="1" t="s">
        <v>114</v>
      </c>
      <c r="B262" s="1" t="s">
        <v>115</v>
      </c>
      <c r="C262" s="1" t="s">
        <v>5</v>
      </c>
      <c r="D262" s="1" t="s">
        <v>456</v>
      </c>
      <c r="E262" s="19">
        <v>44680.863888888889</v>
      </c>
      <c r="F262" s="1" t="s">
        <v>531</v>
      </c>
      <c r="G262" s="1" t="s">
        <v>482</v>
      </c>
      <c r="H262" s="4"/>
      <c r="I262" s="4">
        <v>2468</v>
      </c>
      <c r="J262" s="4"/>
      <c r="K262" s="5"/>
      <c r="L262" s="5"/>
      <c r="M262" s="11"/>
    </row>
    <row r="263" spans="1:13" x14ac:dyDescent="0.3">
      <c r="A263" s="1" t="s">
        <v>114</v>
      </c>
      <c r="B263" s="1" t="s">
        <v>115</v>
      </c>
      <c r="C263" s="1" t="s">
        <v>5</v>
      </c>
      <c r="D263" s="1" t="s">
        <v>456</v>
      </c>
      <c r="E263" s="19">
        <v>44680.863888888889</v>
      </c>
      <c r="F263" s="1" t="s">
        <v>532</v>
      </c>
      <c r="G263" s="1" t="s">
        <v>482</v>
      </c>
      <c r="H263" s="4"/>
      <c r="I263" s="4">
        <v>2468</v>
      </c>
      <c r="J263" s="4"/>
      <c r="K263" s="5"/>
      <c r="L263" s="5"/>
      <c r="M263" s="11"/>
    </row>
    <row r="264" spans="1:13" x14ac:dyDescent="0.3">
      <c r="A264" s="1" t="s">
        <v>108</v>
      </c>
      <c r="B264" s="1" t="s">
        <v>109</v>
      </c>
      <c r="C264" s="1" t="s">
        <v>5</v>
      </c>
      <c r="D264" s="1" t="s">
        <v>456</v>
      </c>
      <c r="E264" s="19">
        <v>44677.94027777778</v>
      </c>
      <c r="F264" s="1" t="s">
        <v>531</v>
      </c>
      <c r="G264" s="1" t="s">
        <v>480</v>
      </c>
      <c r="H264" s="4"/>
      <c r="I264" s="4">
        <v>1944</v>
      </c>
      <c r="J264" s="4"/>
      <c r="K264" s="5"/>
      <c r="L264" s="5"/>
      <c r="M264" s="11"/>
    </row>
    <row r="265" spans="1:13" x14ac:dyDescent="0.3">
      <c r="A265" s="1" t="s">
        <v>108</v>
      </c>
      <c r="B265" s="1" t="s">
        <v>109</v>
      </c>
      <c r="C265" s="1" t="s">
        <v>5</v>
      </c>
      <c r="D265" s="1" t="s">
        <v>456</v>
      </c>
      <c r="E265" s="19">
        <v>44677.94027777778</v>
      </c>
      <c r="F265" s="1" t="s">
        <v>532</v>
      </c>
      <c r="G265" s="1" t="s">
        <v>480</v>
      </c>
      <c r="H265" s="4"/>
      <c r="I265" s="4">
        <v>1944</v>
      </c>
      <c r="J265" s="4"/>
      <c r="K265" s="5"/>
      <c r="L265" s="5"/>
      <c r="M265" s="11"/>
    </row>
    <row r="266" spans="1:13" x14ac:dyDescent="0.3">
      <c r="A266" s="1" t="s">
        <v>73</v>
      </c>
      <c r="B266" s="1" t="s">
        <v>19</v>
      </c>
      <c r="C266" s="1" t="s">
        <v>3</v>
      </c>
      <c r="D266" s="1" t="s">
        <v>456</v>
      </c>
      <c r="E266" s="19">
        <v>44677.732638888891</v>
      </c>
      <c r="F266" s="1" t="s">
        <v>532</v>
      </c>
      <c r="G266" s="1" t="s">
        <v>482</v>
      </c>
      <c r="H266" s="4"/>
      <c r="I266" s="4">
        <v>1646</v>
      </c>
      <c r="J266" s="4"/>
      <c r="K266" s="5"/>
      <c r="L266" s="5"/>
      <c r="M266" s="11"/>
    </row>
    <row r="267" spans="1:13" x14ac:dyDescent="0.3">
      <c r="A267" s="1" t="s">
        <v>104</v>
      </c>
      <c r="B267" s="1" t="s">
        <v>105</v>
      </c>
      <c r="C267" s="1" t="s">
        <v>5</v>
      </c>
      <c r="D267" s="1" t="s">
        <v>456</v>
      </c>
      <c r="E267" s="19">
        <v>44676.413888888892</v>
      </c>
      <c r="F267" s="1" t="s">
        <v>532</v>
      </c>
      <c r="G267" s="1" t="s">
        <v>480</v>
      </c>
      <c r="H267" s="4"/>
      <c r="I267" s="4">
        <v>2094</v>
      </c>
      <c r="J267" s="4"/>
      <c r="K267" s="5"/>
      <c r="L267" s="5"/>
      <c r="M267" s="11"/>
    </row>
    <row r="268" spans="1:13" x14ac:dyDescent="0.3">
      <c r="A268" s="1" t="s">
        <v>98</v>
      </c>
      <c r="B268" s="1" t="s">
        <v>99</v>
      </c>
      <c r="C268" s="1" t="s">
        <v>5</v>
      </c>
      <c r="D268" s="1" t="s">
        <v>456</v>
      </c>
      <c r="E268" s="19">
        <v>44674.414583333331</v>
      </c>
      <c r="F268" s="1" t="s">
        <v>531</v>
      </c>
      <c r="G268" s="1" t="s">
        <v>480</v>
      </c>
      <c r="H268" s="4"/>
      <c r="I268" s="4">
        <v>1942</v>
      </c>
      <c r="J268" s="4"/>
      <c r="K268" s="5"/>
      <c r="L268" s="5"/>
      <c r="M268" s="11"/>
    </row>
    <row r="269" spans="1:13" x14ac:dyDescent="0.3">
      <c r="A269" s="1" t="s">
        <v>98</v>
      </c>
      <c r="B269" s="1" t="s">
        <v>99</v>
      </c>
      <c r="C269" s="1" t="s">
        <v>5</v>
      </c>
      <c r="D269" s="1" t="s">
        <v>456</v>
      </c>
      <c r="E269" s="19">
        <v>44674.414583333331</v>
      </c>
      <c r="F269" s="1" t="s">
        <v>532</v>
      </c>
      <c r="G269" s="1" t="s">
        <v>480</v>
      </c>
      <c r="H269" s="4"/>
      <c r="I269" s="4">
        <v>1942</v>
      </c>
      <c r="J269" s="4"/>
      <c r="K269" s="5"/>
      <c r="L269" s="5"/>
      <c r="M269" s="11"/>
    </row>
    <row r="270" spans="1:13" x14ac:dyDescent="0.3">
      <c r="A270" s="1" t="s">
        <v>81</v>
      </c>
      <c r="B270" s="1" t="s">
        <v>50</v>
      </c>
      <c r="C270" s="1" t="s">
        <v>0</v>
      </c>
      <c r="D270" s="1" t="s">
        <v>456</v>
      </c>
      <c r="E270" s="19">
        <v>44672.62777777778</v>
      </c>
      <c r="F270" s="1" t="s">
        <v>531</v>
      </c>
      <c r="G270" s="1" t="s">
        <v>480</v>
      </c>
      <c r="H270" s="4"/>
      <c r="I270" s="4">
        <v>2064</v>
      </c>
      <c r="J270" s="4"/>
      <c r="K270" s="5"/>
      <c r="L270" s="5"/>
      <c r="M270" s="11"/>
    </row>
    <row r="271" spans="1:13" x14ac:dyDescent="0.3">
      <c r="A271" s="1" t="s">
        <v>81</v>
      </c>
      <c r="B271" s="1" t="s">
        <v>50</v>
      </c>
      <c r="C271" s="1" t="s">
        <v>0</v>
      </c>
      <c r="D271" s="1" t="s">
        <v>456</v>
      </c>
      <c r="E271" s="19">
        <v>44672.62777777778</v>
      </c>
      <c r="F271" s="1" t="s">
        <v>532</v>
      </c>
      <c r="G271" s="1" t="s">
        <v>480</v>
      </c>
      <c r="H271" s="4"/>
      <c r="I271" s="4">
        <v>2064</v>
      </c>
      <c r="J271" s="4"/>
      <c r="K271" s="5"/>
      <c r="L271" s="5"/>
      <c r="M271" s="11"/>
    </row>
    <row r="272" spans="1:13" x14ac:dyDescent="0.3">
      <c r="A272" s="1" t="s">
        <v>79</v>
      </c>
      <c r="B272" s="1" t="s">
        <v>21</v>
      </c>
      <c r="C272" s="1" t="s">
        <v>5</v>
      </c>
      <c r="D272" s="1" t="s">
        <v>456</v>
      </c>
      <c r="E272" s="19">
        <v>44672.620833333334</v>
      </c>
      <c r="F272" s="1" t="s">
        <v>531</v>
      </c>
      <c r="G272" s="1" t="s">
        <v>480</v>
      </c>
      <c r="H272" s="4"/>
      <c r="I272" s="4">
        <v>2067</v>
      </c>
      <c r="J272" s="4"/>
      <c r="K272" s="5"/>
      <c r="L272" s="5"/>
      <c r="M272" s="11"/>
    </row>
    <row r="273" spans="1:13" x14ac:dyDescent="0.3">
      <c r="A273" s="1" t="s">
        <v>79</v>
      </c>
      <c r="B273" s="1" t="s">
        <v>21</v>
      </c>
      <c r="C273" s="1" t="s">
        <v>5</v>
      </c>
      <c r="D273" s="1" t="s">
        <v>456</v>
      </c>
      <c r="E273" s="19">
        <v>44672.620833333334</v>
      </c>
      <c r="F273" s="1" t="s">
        <v>532</v>
      </c>
      <c r="G273" s="1" t="s">
        <v>480</v>
      </c>
      <c r="H273" s="4"/>
      <c r="I273" s="4">
        <v>2067</v>
      </c>
      <c r="J273" s="4"/>
      <c r="K273" s="5"/>
      <c r="L273" s="5"/>
      <c r="M273" s="11"/>
    </row>
    <row r="274" spans="1:13" x14ac:dyDescent="0.3">
      <c r="A274" s="1" t="s">
        <v>94</v>
      </c>
      <c r="B274" s="1" t="s">
        <v>97</v>
      </c>
      <c r="C274" s="1" t="s">
        <v>5</v>
      </c>
      <c r="D274" s="1" t="s">
        <v>456</v>
      </c>
      <c r="E274" s="19">
        <v>44669.447222222225</v>
      </c>
      <c r="F274" s="1" t="s">
        <v>532</v>
      </c>
      <c r="G274" s="1" t="s">
        <v>480</v>
      </c>
      <c r="H274" s="4"/>
      <c r="I274" s="4">
        <v>1647</v>
      </c>
      <c r="J274" s="4"/>
      <c r="K274" s="5"/>
      <c r="L274" s="5"/>
      <c r="M274" s="11"/>
    </row>
    <row r="275" spans="1:13" x14ac:dyDescent="0.3">
      <c r="A275" s="1" t="s">
        <v>95</v>
      </c>
      <c r="B275" s="1" t="s">
        <v>96</v>
      </c>
      <c r="C275" s="1" t="s">
        <v>5</v>
      </c>
      <c r="D275" s="1" t="s">
        <v>456</v>
      </c>
      <c r="E275" s="19">
        <v>44669.404861111114</v>
      </c>
      <c r="F275" s="1" t="s">
        <v>531</v>
      </c>
      <c r="G275" s="1" t="s">
        <v>480</v>
      </c>
      <c r="H275" s="4"/>
      <c r="I275" s="4">
        <v>2119</v>
      </c>
      <c r="J275" s="4"/>
      <c r="K275" s="5"/>
      <c r="L275" s="5"/>
      <c r="M275" s="11"/>
    </row>
    <row r="276" spans="1:13" x14ac:dyDescent="0.3">
      <c r="A276" s="1" t="s">
        <v>95</v>
      </c>
      <c r="B276" s="1" t="s">
        <v>96</v>
      </c>
      <c r="C276" s="1" t="s">
        <v>5</v>
      </c>
      <c r="D276" s="1" t="s">
        <v>456</v>
      </c>
      <c r="E276" s="19">
        <v>44669.404861111114</v>
      </c>
      <c r="F276" s="1" t="s">
        <v>532</v>
      </c>
      <c r="G276" s="1" t="s">
        <v>480</v>
      </c>
      <c r="H276" s="4"/>
      <c r="I276" s="4">
        <v>2119</v>
      </c>
      <c r="J276" s="4"/>
      <c r="K276" s="5"/>
      <c r="L276" s="5"/>
      <c r="M276" s="11"/>
    </row>
    <row r="277" spans="1:13" x14ac:dyDescent="0.3">
      <c r="A277" s="1" t="s">
        <v>91</v>
      </c>
      <c r="B277" s="1" t="s">
        <v>92</v>
      </c>
      <c r="C277" s="1" t="s">
        <v>32</v>
      </c>
      <c r="D277" s="1" t="s">
        <v>456</v>
      </c>
      <c r="E277" s="19">
        <v>44668.746527777781</v>
      </c>
      <c r="F277" s="1" t="s">
        <v>531</v>
      </c>
      <c r="G277" s="1" t="s">
        <v>480</v>
      </c>
      <c r="H277" s="4"/>
      <c r="I277" s="4">
        <v>1547</v>
      </c>
      <c r="J277" s="4"/>
      <c r="K277" s="5"/>
      <c r="L277" s="5"/>
      <c r="M277" s="11"/>
    </row>
    <row r="278" spans="1:13" x14ac:dyDescent="0.3">
      <c r="A278" s="1" t="s">
        <v>91</v>
      </c>
      <c r="B278" s="1" t="s">
        <v>92</v>
      </c>
      <c r="C278" s="1" t="s">
        <v>32</v>
      </c>
      <c r="D278" s="1" t="s">
        <v>456</v>
      </c>
      <c r="E278" s="19">
        <v>44668.746527777781</v>
      </c>
      <c r="F278" s="1" t="s">
        <v>532</v>
      </c>
      <c r="G278" s="1" t="s">
        <v>480</v>
      </c>
      <c r="H278" s="4"/>
      <c r="I278" s="4">
        <v>1547</v>
      </c>
      <c r="J278" s="4"/>
      <c r="K278" s="5"/>
      <c r="L278" s="5"/>
      <c r="M278" s="11"/>
    </row>
    <row r="279" spans="1:13" x14ac:dyDescent="0.3">
      <c r="A279" s="1" t="s">
        <v>100</v>
      </c>
      <c r="B279" s="1" t="s">
        <v>93</v>
      </c>
      <c r="C279" s="1" t="s">
        <v>32</v>
      </c>
      <c r="D279" s="1" t="s">
        <v>456</v>
      </c>
      <c r="E279" s="19">
        <v>44668.722916666666</v>
      </c>
      <c r="F279" s="1" t="s">
        <v>531</v>
      </c>
      <c r="G279" s="1" t="s">
        <v>480</v>
      </c>
      <c r="H279" s="4"/>
      <c r="I279" s="4">
        <v>2100</v>
      </c>
      <c r="J279" s="4"/>
      <c r="K279" s="5"/>
      <c r="L279" s="5"/>
      <c r="M279" s="11"/>
    </row>
    <row r="280" spans="1:13" x14ac:dyDescent="0.3">
      <c r="A280" s="1" t="s">
        <v>90</v>
      </c>
      <c r="B280" s="1" t="s">
        <v>15</v>
      </c>
      <c r="C280" s="1" t="s">
        <v>2</v>
      </c>
      <c r="D280" s="1" t="s">
        <v>456</v>
      </c>
      <c r="E280" s="19">
        <v>44668.5</v>
      </c>
      <c r="F280" s="1" t="s">
        <v>531</v>
      </c>
      <c r="G280" s="1" t="s">
        <v>480</v>
      </c>
      <c r="H280" s="4">
        <v>1</v>
      </c>
      <c r="I280" s="4">
        <v>2551</v>
      </c>
      <c r="J280" s="4"/>
      <c r="K280" s="5"/>
      <c r="L280" s="5"/>
      <c r="M280" s="11"/>
    </row>
    <row r="281" spans="1:13" x14ac:dyDescent="0.3">
      <c r="A281" s="1" t="s">
        <v>90</v>
      </c>
      <c r="B281" s="1" t="s">
        <v>15</v>
      </c>
      <c r="C281" s="1" t="s">
        <v>2</v>
      </c>
      <c r="D281" s="1" t="s">
        <v>456</v>
      </c>
      <c r="E281" s="19">
        <v>44668.5</v>
      </c>
      <c r="F281" s="1" t="s">
        <v>532</v>
      </c>
      <c r="G281" s="1" t="s">
        <v>480</v>
      </c>
      <c r="H281" s="4">
        <v>1</v>
      </c>
      <c r="I281" s="4">
        <v>2551</v>
      </c>
      <c r="J281" s="4"/>
      <c r="K281" s="5" t="s">
        <v>288</v>
      </c>
      <c r="L281" s="5" t="s">
        <v>310</v>
      </c>
      <c r="M281" s="11">
        <v>2700</v>
      </c>
    </row>
    <row r="282" spans="1:13" x14ac:dyDescent="0.3">
      <c r="A282" s="1" t="s">
        <v>69</v>
      </c>
      <c r="B282" s="1" t="s">
        <v>210</v>
      </c>
      <c r="C282" s="1" t="s">
        <v>52</v>
      </c>
      <c r="D282" s="1" t="s">
        <v>456</v>
      </c>
      <c r="E282" s="19">
        <v>44537.339583333334</v>
      </c>
      <c r="F282" s="1" t="s">
        <v>533</v>
      </c>
      <c r="G282" s="1" t="s">
        <v>480</v>
      </c>
      <c r="H282" s="4"/>
      <c r="I282" s="4">
        <v>2335</v>
      </c>
      <c r="J282" s="4"/>
      <c r="K282" s="5"/>
      <c r="L282" s="5"/>
      <c r="M282" s="11"/>
    </row>
    <row r="283" spans="1:13" x14ac:dyDescent="0.3">
      <c r="A283" s="1" t="s">
        <v>77</v>
      </c>
      <c r="B283" s="1" t="s">
        <v>48</v>
      </c>
      <c r="C283" s="1" t="s">
        <v>43</v>
      </c>
      <c r="D283" s="1" t="s">
        <v>456</v>
      </c>
      <c r="E283" s="19">
        <v>44535.942361111112</v>
      </c>
      <c r="F283" s="1" t="s">
        <v>533</v>
      </c>
      <c r="G283" s="1" t="s">
        <v>480</v>
      </c>
      <c r="H283" s="4"/>
      <c r="I283" s="4">
        <v>1276</v>
      </c>
      <c r="J283" s="4"/>
      <c r="K283" s="5"/>
      <c r="L283" s="5"/>
      <c r="M283" s="11"/>
    </row>
    <row r="284" spans="1:13" x14ac:dyDescent="0.3">
      <c r="A284" s="1" t="s">
        <v>78</v>
      </c>
      <c r="B284" s="1" t="s">
        <v>294</v>
      </c>
      <c r="C284" s="1" t="s">
        <v>4</v>
      </c>
      <c r="D284" s="1" t="s">
        <v>456</v>
      </c>
      <c r="E284" s="19">
        <v>44527.730555555558</v>
      </c>
      <c r="F284" s="1" t="s">
        <v>534</v>
      </c>
      <c r="G284" s="1" t="s">
        <v>482</v>
      </c>
      <c r="H284" s="4">
        <v>4</v>
      </c>
      <c r="I284" s="4">
        <v>2527</v>
      </c>
      <c r="J284" s="4"/>
      <c r="K284" s="5"/>
      <c r="L284" s="5"/>
      <c r="M284" s="11"/>
    </row>
    <row r="285" spans="1:13" x14ac:dyDescent="0.3">
      <c r="A285" s="1" t="s">
        <v>78</v>
      </c>
      <c r="B285" s="1" t="s">
        <v>294</v>
      </c>
      <c r="C285" s="1" t="s">
        <v>4</v>
      </c>
      <c r="D285" s="1" t="s">
        <v>456</v>
      </c>
      <c r="E285" s="19">
        <v>44527.730555555558</v>
      </c>
      <c r="F285" s="1" t="s">
        <v>535</v>
      </c>
      <c r="G285" s="1" t="s">
        <v>482</v>
      </c>
      <c r="H285" s="4">
        <v>4</v>
      </c>
      <c r="I285" s="4">
        <v>2527</v>
      </c>
      <c r="J285" s="4"/>
      <c r="K285" s="5"/>
      <c r="L285" s="5"/>
      <c r="M285" s="11"/>
    </row>
    <row r="286" spans="1:13" x14ac:dyDescent="0.3">
      <c r="A286" s="1" t="s">
        <v>78</v>
      </c>
      <c r="B286" s="1" t="s">
        <v>294</v>
      </c>
      <c r="C286" s="1" t="s">
        <v>4</v>
      </c>
      <c r="D286" s="1" t="s">
        <v>456</v>
      </c>
      <c r="E286" s="19">
        <v>44527.730555555558</v>
      </c>
      <c r="F286" s="1" t="s">
        <v>536</v>
      </c>
      <c r="G286" s="1" t="s">
        <v>480</v>
      </c>
      <c r="H286" s="4">
        <v>4</v>
      </c>
      <c r="I286" s="4">
        <v>2527</v>
      </c>
      <c r="J286" s="4"/>
      <c r="K286" s="5"/>
      <c r="L286" s="5"/>
      <c r="M286" s="11"/>
    </row>
    <row r="287" spans="1:13" x14ac:dyDescent="0.3">
      <c r="A287" s="1" t="s">
        <v>78</v>
      </c>
      <c r="B287" s="1" t="s">
        <v>294</v>
      </c>
      <c r="C287" s="1" t="s">
        <v>4</v>
      </c>
      <c r="D287" s="1" t="s">
        <v>456</v>
      </c>
      <c r="E287" s="19">
        <v>44527.730555555558</v>
      </c>
      <c r="F287" s="1" t="s">
        <v>533</v>
      </c>
      <c r="G287" s="1" t="s">
        <v>480</v>
      </c>
      <c r="H287" s="4">
        <v>4</v>
      </c>
      <c r="I287" s="4">
        <v>2527</v>
      </c>
      <c r="J287" s="4"/>
      <c r="K287" s="5"/>
      <c r="L287" s="5"/>
      <c r="M287" s="11"/>
    </row>
    <row r="288" spans="1:13" x14ac:dyDescent="0.3">
      <c r="A288" s="1" t="s">
        <v>65</v>
      </c>
      <c r="B288" s="1" t="s">
        <v>34</v>
      </c>
      <c r="C288" s="1" t="s">
        <v>43</v>
      </c>
      <c r="D288" s="1" t="s">
        <v>456</v>
      </c>
      <c r="E288" s="19">
        <v>44526.679166666669</v>
      </c>
      <c r="F288" s="1" t="s">
        <v>536</v>
      </c>
      <c r="G288" s="1" t="s">
        <v>480</v>
      </c>
      <c r="H288" s="4"/>
      <c r="I288" s="4">
        <v>1917</v>
      </c>
      <c r="J288" s="4"/>
      <c r="K288" s="5"/>
      <c r="L288" s="5"/>
      <c r="M288" s="11"/>
    </row>
    <row r="289" spans="1:13" x14ac:dyDescent="0.3">
      <c r="A289" s="1" t="s">
        <v>65</v>
      </c>
      <c r="B289" s="1" t="s">
        <v>34</v>
      </c>
      <c r="C289" s="1" t="s">
        <v>43</v>
      </c>
      <c r="D289" s="1" t="s">
        <v>456</v>
      </c>
      <c r="E289" s="19">
        <v>44526.679166666669</v>
      </c>
      <c r="F289" s="1" t="s">
        <v>533</v>
      </c>
      <c r="G289" s="1" t="s">
        <v>480</v>
      </c>
      <c r="H289" s="4"/>
      <c r="I289" s="4">
        <v>1917</v>
      </c>
      <c r="J289" s="4"/>
      <c r="K289" s="5"/>
      <c r="L289" s="5"/>
      <c r="M289" s="11"/>
    </row>
    <row r="290" spans="1:13" x14ac:dyDescent="0.3">
      <c r="A290" s="1" t="s">
        <v>286</v>
      </c>
      <c r="B290" s="1" t="s">
        <v>242</v>
      </c>
      <c r="C290" s="1" t="s">
        <v>55</v>
      </c>
      <c r="D290" s="1" t="s">
        <v>456</v>
      </c>
      <c r="E290" s="19">
        <v>44526.666666666664</v>
      </c>
      <c r="F290" s="1" t="s">
        <v>534</v>
      </c>
      <c r="G290" s="1" t="s">
        <v>482</v>
      </c>
      <c r="H290" s="4"/>
      <c r="I290" s="4"/>
      <c r="J290" s="4">
        <v>1</v>
      </c>
      <c r="K290" s="5"/>
      <c r="L290" s="5"/>
      <c r="M290" s="11"/>
    </row>
    <row r="291" spans="1:13" x14ac:dyDescent="0.3">
      <c r="A291" s="1" t="s">
        <v>286</v>
      </c>
      <c r="B291" s="1" t="s">
        <v>242</v>
      </c>
      <c r="C291" s="1" t="s">
        <v>55</v>
      </c>
      <c r="D291" s="1" t="s">
        <v>456</v>
      </c>
      <c r="E291" s="19">
        <v>44526.666666666664</v>
      </c>
      <c r="F291" s="1" t="s">
        <v>533</v>
      </c>
      <c r="G291" s="1" t="s">
        <v>482</v>
      </c>
      <c r="H291" s="4"/>
      <c r="I291" s="4"/>
      <c r="J291" s="4">
        <v>1</v>
      </c>
      <c r="K291" s="5"/>
      <c r="L291" s="5"/>
      <c r="M291" s="11"/>
    </row>
    <row r="292" spans="1:13" x14ac:dyDescent="0.3">
      <c r="A292" s="1" t="s">
        <v>64</v>
      </c>
      <c r="B292" s="1" t="s">
        <v>33</v>
      </c>
      <c r="C292" s="1" t="s">
        <v>43</v>
      </c>
      <c r="D292" s="1" t="s">
        <v>456</v>
      </c>
      <c r="E292" s="19">
        <v>44525.699305555558</v>
      </c>
      <c r="F292" s="1" t="s">
        <v>536</v>
      </c>
      <c r="G292" s="1" t="s">
        <v>480</v>
      </c>
      <c r="H292" s="4"/>
      <c r="I292" s="4">
        <v>1098</v>
      </c>
      <c r="J292" s="4"/>
      <c r="K292" s="5"/>
      <c r="L292" s="5"/>
      <c r="M292" s="11"/>
    </row>
    <row r="293" spans="1:13" x14ac:dyDescent="0.3">
      <c r="A293" s="1" t="s">
        <v>64</v>
      </c>
      <c r="B293" s="1" t="s">
        <v>33</v>
      </c>
      <c r="C293" s="1" t="s">
        <v>43</v>
      </c>
      <c r="D293" s="1" t="s">
        <v>456</v>
      </c>
      <c r="E293" s="19">
        <v>44525.699305555558</v>
      </c>
      <c r="F293" s="1" t="s">
        <v>533</v>
      </c>
      <c r="G293" s="1" t="s">
        <v>480</v>
      </c>
      <c r="H293" s="4"/>
      <c r="I293" s="4">
        <v>1098</v>
      </c>
      <c r="J293" s="4"/>
      <c r="K293" s="5"/>
      <c r="L293" s="5"/>
      <c r="M293" s="11"/>
    </row>
    <row r="294" spans="1:13" x14ac:dyDescent="0.3">
      <c r="A294" s="1" t="s">
        <v>76</v>
      </c>
      <c r="B294" s="1" t="s">
        <v>219</v>
      </c>
      <c r="C294" s="1" t="s">
        <v>2</v>
      </c>
      <c r="D294" s="1" t="s">
        <v>456</v>
      </c>
      <c r="E294" s="19">
        <v>44523.897916666669</v>
      </c>
      <c r="F294" s="1" t="s">
        <v>533</v>
      </c>
      <c r="G294" s="1" t="s">
        <v>482</v>
      </c>
      <c r="H294" s="4"/>
      <c r="I294" s="4">
        <v>1187</v>
      </c>
      <c r="J294" s="4"/>
      <c r="K294" s="5"/>
      <c r="L294" s="5"/>
      <c r="M294" s="11"/>
    </row>
    <row r="295" spans="1:13" x14ac:dyDescent="0.3">
      <c r="A295" s="1" t="s">
        <v>68</v>
      </c>
      <c r="B295" s="1" t="s">
        <v>28</v>
      </c>
      <c r="C295" s="1" t="s">
        <v>26</v>
      </c>
      <c r="D295" s="1" t="s">
        <v>456</v>
      </c>
      <c r="E295" s="19">
        <v>44517.490972222222</v>
      </c>
      <c r="F295" s="1" t="s">
        <v>536</v>
      </c>
      <c r="G295" s="1" t="s">
        <v>480</v>
      </c>
      <c r="H295" s="4"/>
      <c r="I295" s="4">
        <v>1000</v>
      </c>
      <c r="J295" s="4"/>
      <c r="K295" s="5"/>
      <c r="L295" s="5"/>
      <c r="M295" s="11"/>
    </row>
    <row r="296" spans="1:13" x14ac:dyDescent="0.3">
      <c r="A296" s="1" t="s">
        <v>68</v>
      </c>
      <c r="B296" s="1" t="s">
        <v>28</v>
      </c>
      <c r="C296" s="1" t="s">
        <v>26</v>
      </c>
      <c r="D296" s="1" t="s">
        <v>456</v>
      </c>
      <c r="E296" s="19">
        <v>44517.490972222222</v>
      </c>
      <c r="F296" s="1" t="s">
        <v>533</v>
      </c>
      <c r="G296" s="1" t="s">
        <v>480</v>
      </c>
      <c r="H296" s="4"/>
      <c r="I296" s="4">
        <v>1000</v>
      </c>
      <c r="J296" s="4"/>
      <c r="K296" s="5"/>
      <c r="L296" s="5"/>
      <c r="M296" s="11"/>
    </row>
    <row r="297" spans="1:13" x14ac:dyDescent="0.3">
      <c r="A297" s="1" t="s">
        <v>67</v>
      </c>
      <c r="B297" s="1" t="s">
        <v>27</v>
      </c>
      <c r="C297" s="1" t="s">
        <v>26</v>
      </c>
      <c r="D297" s="1" t="s">
        <v>456</v>
      </c>
      <c r="E297" s="19">
        <v>44517.488194444442</v>
      </c>
      <c r="F297" s="1" t="s">
        <v>536</v>
      </c>
      <c r="G297" s="1" t="s">
        <v>480</v>
      </c>
      <c r="H297" s="4"/>
      <c r="I297" s="4">
        <v>1324</v>
      </c>
      <c r="J297" s="4"/>
      <c r="K297" s="5"/>
      <c r="L297" s="5"/>
      <c r="M297" s="11"/>
    </row>
    <row r="298" spans="1:13" x14ac:dyDescent="0.3">
      <c r="A298" s="1" t="s">
        <v>67</v>
      </c>
      <c r="B298" s="1" t="s">
        <v>27</v>
      </c>
      <c r="C298" s="1" t="s">
        <v>26</v>
      </c>
      <c r="D298" s="1" t="s">
        <v>456</v>
      </c>
      <c r="E298" s="19">
        <v>44517.488194444442</v>
      </c>
      <c r="F298" s="1" t="s">
        <v>533</v>
      </c>
      <c r="G298" s="1" t="s">
        <v>480</v>
      </c>
      <c r="H298" s="4"/>
      <c r="I298" s="4">
        <v>1324</v>
      </c>
      <c r="J298" s="4"/>
      <c r="K298" s="5" t="s">
        <v>289</v>
      </c>
      <c r="L298" s="5" t="s">
        <v>313</v>
      </c>
      <c r="M298" s="11">
        <v>320</v>
      </c>
    </row>
    <row r="299" spans="1:13" x14ac:dyDescent="0.3">
      <c r="A299" s="1" t="s">
        <v>63</v>
      </c>
      <c r="B299" s="1" t="s">
        <v>25</v>
      </c>
      <c r="C299" s="1" t="s">
        <v>43</v>
      </c>
      <c r="D299" s="1" t="s">
        <v>458</v>
      </c>
      <c r="E299" s="19">
        <v>44516.886111111111</v>
      </c>
      <c r="F299" s="1" t="s">
        <v>536</v>
      </c>
      <c r="G299" s="1" t="s">
        <v>480</v>
      </c>
      <c r="H299" s="4"/>
      <c r="I299" s="4">
        <v>1861</v>
      </c>
      <c r="J299" s="4"/>
      <c r="K299" s="5"/>
      <c r="L299" s="5"/>
      <c r="M299" s="11"/>
    </row>
    <row r="300" spans="1:13" x14ac:dyDescent="0.3">
      <c r="A300" s="1" t="s">
        <v>63</v>
      </c>
      <c r="B300" s="1" t="s">
        <v>25</v>
      </c>
      <c r="C300" s="1" t="s">
        <v>43</v>
      </c>
      <c r="D300" s="1" t="s">
        <v>458</v>
      </c>
      <c r="E300" s="19">
        <v>44516.886111111111</v>
      </c>
      <c r="F300" s="1" t="s">
        <v>533</v>
      </c>
      <c r="G300" s="1" t="s">
        <v>480</v>
      </c>
      <c r="H300" s="4"/>
      <c r="I300" s="4">
        <v>1861</v>
      </c>
      <c r="J300" s="4"/>
      <c r="K300" s="5"/>
      <c r="L300" s="5"/>
      <c r="M300" s="11"/>
    </row>
    <row r="301" spans="1:13" x14ac:dyDescent="0.3">
      <c r="A301" s="1" t="s">
        <v>71</v>
      </c>
      <c r="B301" s="1" t="s">
        <v>239</v>
      </c>
      <c r="C301" s="1" t="s">
        <v>2</v>
      </c>
      <c r="D301" s="1" t="s">
        <v>456</v>
      </c>
      <c r="E301" s="19">
        <v>44514.676388888889</v>
      </c>
      <c r="F301" s="1" t="s">
        <v>534</v>
      </c>
      <c r="G301" s="1" t="s">
        <v>482</v>
      </c>
      <c r="H301" s="4"/>
      <c r="I301" s="4">
        <v>1922</v>
      </c>
      <c r="J301" s="4"/>
      <c r="K301" s="5"/>
      <c r="L301" s="5"/>
      <c r="M301" s="11"/>
    </row>
    <row r="302" spans="1:13" x14ac:dyDescent="0.3">
      <c r="A302" s="1" t="s">
        <v>71</v>
      </c>
      <c r="B302" s="1" t="s">
        <v>239</v>
      </c>
      <c r="C302" s="1" t="s">
        <v>2</v>
      </c>
      <c r="D302" s="1" t="s">
        <v>456</v>
      </c>
      <c r="E302" s="19">
        <v>44514.676388888889</v>
      </c>
      <c r="F302" s="1" t="s">
        <v>535</v>
      </c>
      <c r="G302" s="1" t="s">
        <v>482</v>
      </c>
      <c r="H302" s="4"/>
      <c r="I302" s="4">
        <v>1922</v>
      </c>
      <c r="J302" s="4"/>
      <c r="K302" s="5"/>
      <c r="L302" s="5"/>
      <c r="M302" s="11"/>
    </row>
    <row r="303" spans="1:13" x14ac:dyDescent="0.3">
      <c r="A303" s="1" t="s">
        <v>71</v>
      </c>
      <c r="B303" s="1" t="s">
        <v>239</v>
      </c>
      <c r="C303" s="1" t="s">
        <v>2</v>
      </c>
      <c r="D303" s="1" t="s">
        <v>456</v>
      </c>
      <c r="E303" s="19">
        <v>44514.676388888889</v>
      </c>
      <c r="F303" s="1" t="s">
        <v>536</v>
      </c>
      <c r="G303" s="1" t="s">
        <v>482</v>
      </c>
      <c r="H303" s="4"/>
      <c r="I303" s="4">
        <v>1922</v>
      </c>
      <c r="J303" s="4"/>
      <c r="K303" s="5"/>
      <c r="L303" s="5"/>
      <c r="M303" s="11"/>
    </row>
    <row r="304" spans="1:13" x14ac:dyDescent="0.3">
      <c r="A304" s="1" t="s">
        <v>71</v>
      </c>
      <c r="B304" s="1" t="s">
        <v>239</v>
      </c>
      <c r="C304" s="1" t="s">
        <v>2</v>
      </c>
      <c r="D304" s="1" t="s">
        <v>456</v>
      </c>
      <c r="E304" s="19">
        <v>44514.676388888889</v>
      </c>
      <c r="F304" s="1" t="s">
        <v>533</v>
      </c>
      <c r="G304" s="1" t="s">
        <v>482</v>
      </c>
      <c r="H304" s="4"/>
      <c r="I304" s="4">
        <v>1922</v>
      </c>
      <c r="J304" s="4"/>
      <c r="K304" s="5"/>
      <c r="L304" s="5"/>
      <c r="M304" s="11"/>
    </row>
    <row r="305" spans="1:13" x14ac:dyDescent="0.3">
      <c r="A305" s="1" t="s">
        <v>60</v>
      </c>
      <c r="B305" s="1" t="s">
        <v>24</v>
      </c>
      <c r="C305" s="1" t="s">
        <v>6</v>
      </c>
      <c r="D305" s="1" t="s">
        <v>456</v>
      </c>
      <c r="E305" s="19">
        <v>44510.788888888892</v>
      </c>
      <c r="F305" s="1" t="s">
        <v>533</v>
      </c>
      <c r="G305" s="1" t="s">
        <v>480</v>
      </c>
      <c r="H305" s="4"/>
      <c r="I305" s="4">
        <v>1273</v>
      </c>
      <c r="J305" s="4"/>
      <c r="K305" s="5"/>
      <c r="L305" s="5"/>
      <c r="M305" s="11"/>
    </row>
    <row r="306" spans="1:13" x14ac:dyDescent="0.3">
      <c r="A306" s="1" t="s">
        <v>59</v>
      </c>
      <c r="B306" s="1" t="s">
        <v>23</v>
      </c>
      <c r="C306" s="1" t="s">
        <v>6</v>
      </c>
      <c r="D306" s="1" t="s">
        <v>458</v>
      </c>
      <c r="E306" s="19">
        <v>44510.786805555559</v>
      </c>
      <c r="F306" s="1" t="s">
        <v>533</v>
      </c>
      <c r="G306" s="1" t="s">
        <v>480</v>
      </c>
      <c r="H306" s="4"/>
      <c r="I306" s="4">
        <v>1246</v>
      </c>
      <c r="J306" s="4"/>
      <c r="K306" s="5"/>
      <c r="L306" s="5"/>
      <c r="M306" s="11"/>
    </row>
    <row r="307" spans="1:13" x14ac:dyDescent="0.3">
      <c r="A307" s="1" t="s">
        <v>58</v>
      </c>
      <c r="B307" s="1" t="s">
        <v>22</v>
      </c>
      <c r="C307" s="1" t="s">
        <v>6</v>
      </c>
      <c r="D307" s="1" t="s">
        <v>458</v>
      </c>
      <c r="E307" s="19">
        <v>44510.574305555558</v>
      </c>
      <c r="F307" s="1" t="s">
        <v>533</v>
      </c>
      <c r="G307" s="1" t="s">
        <v>480</v>
      </c>
      <c r="H307" s="4"/>
      <c r="I307" s="4">
        <v>1352</v>
      </c>
      <c r="J307" s="4"/>
      <c r="K307" s="5"/>
      <c r="L307" s="5"/>
      <c r="M307" s="11"/>
    </row>
    <row r="308" spans="1:13" x14ac:dyDescent="0.3">
      <c r="A308" s="1" t="s">
        <v>80</v>
      </c>
      <c r="B308" s="1" t="s">
        <v>47</v>
      </c>
      <c r="C308" s="1" t="s">
        <v>5</v>
      </c>
      <c r="D308" s="1" t="s">
        <v>456</v>
      </c>
      <c r="E308" s="19">
        <v>44509.910416666666</v>
      </c>
      <c r="F308" s="1" t="s">
        <v>534</v>
      </c>
      <c r="G308" s="1" t="s">
        <v>482</v>
      </c>
      <c r="H308" s="4"/>
      <c r="I308" s="4">
        <v>2042</v>
      </c>
      <c r="J308" s="4"/>
      <c r="K308" s="5"/>
      <c r="L308" s="5"/>
      <c r="M308" s="11"/>
    </row>
    <row r="309" spans="1:13" x14ac:dyDescent="0.3">
      <c r="A309" s="1" t="s">
        <v>80</v>
      </c>
      <c r="B309" s="1" t="s">
        <v>47</v>
      </c>
      <c r="C309" s="1" t="s">
        <v>5</v>
      </c>
      <c r="D309" s="1" t="s">
        <v>456</v>
      </c>
      <c r="E309" s="19">
        <v>44509.910416666666</v>
      </c>
      <c r="F309" s="1" t="s">
        <v>535</v>
      </c>
      <c r="G309" s="1" t="s">
        <v>480</v>
      </c>
      <c r="H309" s="4"/>
      <c r="I309" s="4">
        <v>2042</v>
      </c>
      <c r="J309" s="4"/>
      <c r="K309" s="5"/>
      <c r="L309" s="5"/>
      <c r="M309" s="11"/>
    </row>
    <row r="310" spans="1:13" x14ac:dyDescent="0.3">
      <c r="A310" s="1" t="s">
        <v>80</v>
      </c>
      <c r="B310" s="1" t="s">
        <v>47</v>
      </c>
      <c r="C310" s="1" t="s">
        <v>5</v>
      </c>
      <c r="D310" s="1" t="s">
        <v>456</v>
      </c>
      <c r="E310" s="19">
        <v>44509.910416666666</v>
      </c>
      <c r="F310" s="1" t="s">
        <v>533</v>
      </c>
      <c r="G310" s="1" t="s">
        <v>480</v>
      </c>
      <c r="H310" s="4"/>
      <c r="I310" s="4">
        <v>2042</v>
      </c>
      <c r="J310" s="4"/>
      <c r="K310" s="5"/>
      <c r="L310" s="5"/>
      <c r="M310" s="11"/>
    </row>
    <row r="311" spans="1:13" x14ac:dyDescent="0.3">
      <c r="A311" s="1" t="s">
        <v>70</v>
      </c>
      <c r="B311" s="1" t="s">
        <v>82</v>
      </c>
      <c r="C311" s="1" t="s">
        <v>2</v>
      </c>
      <c r="D311" s="1" t="s">
        <v>456</v>
      </c>
      <c r="E311" s="19">
        <v>44509.888194444444</v>
      </c>
      <c r="F311" s="1" t="s">
        <v>534</v>
      </c>
      <c r="G311" s="1" t="s">
        <v>482</v>
      </c>
      <c r="H311" s="4">
        <v>3</v>
      </c>
      <c r="I311" s="4">
        <v>2557</v>
      </c>
      <c r="J311" s="4"/>
      <c r="K311" s="5"/>
      <c r="L311" s="5"/>
      <c r="M311" s="11"/>
    </row>
    <row r="312" spans="1:13" x14ac:dyDescent="0.3">
      <c r="A312" s="1" t="s">
        <v>70</v>
      </c>
      <c r="B312" s="1" t="s">
        <v>82</v>
      </c>
      <c r="C312" s="1" t="s">
        <v>2</v>
      </c>
      <c r="D312" s="1" t="s">
        <v>456</v>
      </c>
      <c r="E312" s="19">
        <v>44509.888194444444</v>
      </c>
      <c r="F312" s="1" t="s">
        <v>535</v>
      </c>
      <c r="G312" s="1" t="s">
        <v>480</v>
      </c>
      <c r="H312" s="4">
        <v>3</v>
      </c>
      <c r="I312" s="4">
        <v>2557</v>
      </c>
      <c r="J312" s="4"/>
      <c r="K312" s="5"/>
      <c r="L312" s="5"/>
      <c r="M312" s="11"/>
    </row>
    <row r="313" spans="1:13" x14ac:dyDescent="0.3">
      <c r="A313" s="1" t="s">
        <v>70</v>
      </c>
      <c r="B313" s="1" t="s">
        <v>82</v>
      </c>
      <c r="C313" s="1" t="s">
        <v>2</v>
      </c>
      <c r="D313" s="1" t="s">
        <v>456</v>
      </c>
      <c r="E313" s="19">
        <v>44509.888194444444</v>
      </c>
      <c r="F313" s="1" t="s">
        <v>536</v>
      </c>
      <c r="G313" s="1" t="s">
        <v>480</v>
      </c>
      <c r="H313" s="4">
        <v>3</v>
      </c>
      <c r="I313" s="4">
        <v>2557</v>
      </c>
      <c r="J313" s="4"/>
      <c r="K313" s="5"/>
      <c r="L313" s="5"/>
      <c r="M313" s="11"/>
    </row>
    <row r="314" spans="1:13" x14ac:dyDescent="0.3">
      <c r="A314" s="1" t="s">
        <v>70</v>
      </c>
      <c r="B314" s="1" t="s">
        <v>82</v>
      </c>
      <c r="C314" s="1" t="s">
        <v>2</v>
      </c>
      <c r="D314" s="1" t="s">
        <v>456</v>
      </c>
      <c r="E314" s="19">
        <v>44509.888194444444</v>
      </c>
      <c r="F314" s="1" t="s">
        <v>533</v>
      </c>
      <c r="G314" s="1" t="s">
        <v>480</v>
      </c>
      <c r="H314" s="4">
        <v>3</v>
      </c>
      <c r="I314" s="4">
        <v>2557</v>
      </c>
      <c r="J314" s="4"/>
      <c r="K314" s="5" t="s">
        <v>288</v>
      </c>
      <c r="L314" s="5" t="s">
        <v>312</v>
      </c>
      <c r="M314" s="11">
        <v>960</v>
      </c>
    </row>
    <row r="315" spans="1:13" x14ac:dyDescent="0.3">
      <c r="A315" s="1" t="s">
        <v>79</v>
      </c>
      <c r="B315" s="1" t="s">
        <v>21</v>
      </c>
      <c r="C315" s="1" t="s">
        <v>5</v>
      </c>
      <c r="D315" s="1" t="s">
        <v>456</v>
      </c>
      <c r="E315" s="19">
        <v>44505.520138888889</v>
      </c>
      <c r="F315" s="1" t="s">
        <v>534</v>
      </c>
      <c r="G315" s="1" t="s">
        <v>482</v>
      </c>
      <c r="H315" s="4"/>
      <c r="I315" s="4">
        <v>2088</v>
      </c>
      <c r="J315" s="4"/>
      <c r="K315" s="5"/>
      <c r="L315" s="5"/>
      <c r="M315" s="11"/>
    </row>
    <row r="316" spans="1:13" x14ac:dyDescent="0.3">
      <c r="A316" s="1" t="s">
        <v>79</v>
      </c>
      <c r="B316" s="1" t="s">
        <v>21</v>
      </c>
      <c r="C316" s="1" t="s">
        <v>5</v>
      </c>
      <c r="D316" s="1" t="s">
        <v>456</v>
      </c>
      <c r="E316" s="19">
        <v>44505.520138888889</v>
      </c>
      <c r="F316" s="1" t="s">
        <v>535</v>
      </c>
      <c r="G316" s="1" t="s">
        <v>482</v>
      </c>
      <c r="H316" s="4"/>
      <c r="I316" s="4">
        <v>2088</v>
      </c>
      <c r="J316" s="4"/>
      <c r="K316" s="5"/>
      <c r="L316" s="5"/>
      <c r="M316" s="11"/>
    </row>
    <row r="317" spans="1:13" x14ac:dyDescent="0.3">
      <c r="A317" s="1" t="s">
        <v>79</v>
      </c>
      <c r="B317" s="1" t="s">
        <v>21</v>
      </c>
      <c r="C317" s="1" t="s">
        <v>5</v>
      </c>
      <c r="D317" s="1" t="s">
        <v>456</v>
      </c>
      <c r="E317" s="19">
        <v>44505.520138888889</v>
      </c>
      <c r="F317" s="1" t="s">
        <v>536</v>
      </c>
      <c r="G317" s="1" t="s">
        <v>482</v>
      </c>
      <c r="H317" s="4"/>
      <c r="I317" s="4">
        <v>2088</v>
      </c>
      <c r="J317" s="4"/>
      <c r="K317" s="5"/>
      <c r="L317" s="5"/>
      <c r="M317" s="11"/>
    </row>
    <row r="318" spans="1:13" x14ac:dyDescent="0.3">
      <c r="A318" s="1" t="s">
        <v>79</v>
      </c>
      <c r="B318" s="1" t="s">
        <v>21</v>
      </c>
      <c r="C318" s="1" t="s">
        <v>5</v>
      </c>
      <c r="D318" s="1" t="s">
        <v>456</v>
      </c>
      <c r="E318" s="19">
        <v>44505.520138888889</v>
      </c>
      <c r="F318" s="1" t="s">
        <v>533</v>
      </c>
      <c r="G318" s="1" t="s">
        <v>482</v>
      </c>
      <c r="H318" s="4"/>
      <c r="I318" s="4">
        <v>2088</v>
      </c>
      <c r="J318" s="4"/>
      <c r="K318" s="5"/>
      <c r="L318" s="5"/>
      <c r="M318" s="11"/>
    </row>
    <row r="319" spans="1:13" x14ac:dyDescent="0.3">
      <c r="A319" s="1" t="s">
        <v>81</v>
      </c>
      <c r="B319" s="1" t="s">
        <v>50</v>
      </c>
      <c r="C319" s="1" t="s">
        <v>0</v>
      </c>
      <c r="D319" s="1" t="s">
        <v>456</v>
      </c>
      <c r="E319" s="19">
        <v>44505.517361111109</v>
      </c>
      <c r="F319" s="1" t="s">
        <v>534</v>
      </c>
      <c r="G319" s="1" t="s">
        <v>482</v>
      </c>
      <c r="H319" s="4"/>
      <c r="I319" s="4">
        <v>2014</v>
      </c>
      <c r="J319" s="4"/>
      <c r="K319" s="5"/>
      <c r="L319" s="5"/>
      <c r="M319" s="11"/>
    </row>
    <row r="320" spans="1:13" x14ac:dyDescent="0.3">
      <c r="A320" s="1" t="s">
        <v>81</v>
      </c>
      <c r="B320" s="1" t="s">
        <v>50</v>
      </c>
      <c r="C320" s="1" t="s">
        <v>0</v>
      </c>
      <c r="D320" s="1" t="s">
        <v>456</v>
      </c>
      <c r="E320" s="19">
        <v>44505.517361111109</v>
      </c>
      <c r="F320" s="1" t="s">
        <v>535</v>
      </c>
      <c r="G320" s="1" t="s">
        <v>482</v>
      </c>
      <c r="H320" s="4"/>
      <c r="I320" s="4">
        <v>2014</v>
      </c>
      <c r="J320" s="4"/>
      <c r="K320" s="5"/>
      <c r="L320" s="5"/>
      <c r="M320" s="11"/>
    </row>
    <row r="321" spans="1:13" x14ac:dyDescent="0.3">
      <c r="A321" s="1" t="s">
        <v>81</v>
      </c>
      <c r="B321" s="1" t="s">
        <v>50</v>
      </c>
      <c r="C321" s="1" t="s">
        <v>0</v>
      </c>
      <c r="D321" s="1" t="s">
        <v>456</v>
      </c>
      <c r="E321" s="19">
        <v>44505.517361111109</v>
      </c>
      <c r="F321" s="1" t="s">
        <v>536</v>
      </c>
      <c r="G321" s="1" t="s">
        <v>480</v>
      </c>
      <c r="H321" s="4"/>
      <c r="I321" s="4">
        <v>2014</v>
      </c>
      <c r="J321" s="4"/>
      <c r="K321" s="5"/>
      <c r="L321" s="5"/>
      <c r="M321" s="11"/>
    </row>
    <row r="322" spans="1:13" x14ac:dyDescent="0.3">
      <c r="A322" s="1" t="s">
        <v>81</v>
      </c>
      <c r="B322" s="1" t="s">
        <v>50</v>
      </c>
      <c r="C322" s="1" t="s">
        <v>0</v>
      </c>
      <c r="D322" s="1" t="s">
        <v>456</v>
      </c>
      <c r="E322" s="19">
        <v>44505.517361111109</v>
      </c>
      <c r="F322" s="1" t="s">
        <v>533</v>
      </c>
      <c r="G322" s="1" t="s">
        <v>480</v>
      </c>
      <c r="H322" s="4"/>
      <c r="I322" s="4">
        <v>2014</v>
      </c>
      <c r="J322" s="4"/>
      <c r="K322" s="5"/>
      <c r="L322" s="5"/>
      <c r="M322" s="11"/>
    </row>
    <row r="323" spans="1:13" x14ac:dyDescent="0.3">
      <c r="A323" s="1" t="s">
        <v>72</v>
      </c>
      <c r="B323" s="1" t="s">
        <v>20</v>
      </c>
      <c r="C323" s="1" t="s">
        <v>7</v>
      </c>
      <c r="D323" s="1" t="s">
        <v>458</v>
      </c>
      <c r="E323" s="19">
        <v>44504.853472222225</v>
      </c>
      <c r="F323" s="1" t="s">
        <v>534</v>
      </c>
      <c r="G323" s="1" t="s">
        <v>482</v>
      </c>
      <c r="H323" s="4"/>
      <c r="I323" s="4">
        <v>1196</v>
      </c>
      <c r="J323" s="4"/>
      <c r="K323" s="5"/>
      <c r="L323" s="5"/>
      <c r="M323" s="11"/>
    </row>
    <row r="324" spans="1:13" x14ac:dyDescent="0.3">
      <c r="A324" s="1" t="s">
        <v>72</v>
      </c>
      <c r="B324" s="1" t="s">
        <v>20</v>
      </c>
      <c r="C324" s="1" t="s">
        <v>7</v>
      </c>
      <c r="D324" s="1" t="s">
        <v>458</v>
      </c>
      <c r="E324" s="19">
        <v>44504.853472222225</v>
      </c>
      <c r="F324" s="1" t="s">
        <v>535</v>
      </c>
      <c r="G324" s="1" t="s">
        <v>480</v>
      </c>
      <c r="H324" s="4"/>
      <c r="I324" s="4">
        <v>1196</v>
      </c>
      <c r="J324" s="4"/>
      <c r="K324" s="5"/>
      <c r="L324" s="5"/>
      <c r="M324" s="11"/>
    </row>
    <row r="325" spans="1:13" x14ac:dyDescent="0.3">
      <c r="A325" s="1" t="s">
        <v>72</v>
      </c>
      <c r="B325" s="1" t="s">
        <v>20</v>
      </c>
      <c r="C325" s="1" t="s">
        <v>7</v>
      </c>
      <c r="D325" s="1" t="s">
        <v>458</v>
      </c>
      <c r="E325" s="19">
        <v>44504.853472222225</v>
      </c>
      <c r="F325" s="1" t="s">
        <v>537</v>
      </c>
      <c r="G325" s="1" t="s">
        <v>480</v>
      </c>
      <c r="H325" s="4"/>
      <c r="I325" s="4">
        <v>1196</v>
      </c>
      <c r="J325" s="4"/>
      <c r="K325" s="5"/>
      <c r="L325" s="5"/>
      <c r="M325" s="11"/>
    </row>
    <row r="326" spans="1:13" x14ac:dyDescent="0.3">
      <c r="A326" s="1" t="s">
        <v>72</v>
      </c>
      <c r="B326" s="1" t="s">
        <v>20</v>
      </c>
      <c r="C326" s="1" t="s">
        <v>7</v>
      </c>
      <c r="D326" s="1" t="s">
        <v>458</v>
      </c>
      <c r="E326" s="19">
        <v>44504.853472222225</v>
      </c>
      <c r="F326" s="1" t="s">
        <v>533</v>
      </c>
      <c r="G326" s="1" t="s">
        <v>480</v>
      </c>
      <c r="H326" s="4"/>
      <c r="I326" s="4">
        <v>1196</v>
      </c>
      <c r="J326" s="4"/>
      <c r="K326" s="5"/>
      <c r="L326" s="5"/>
      <c r="M326" s="11"/>
    </row>
    <row r="327" spans="1:13" x14ac:dyDescent="0.3">
      <c r="A327" s="1" t="s">
        <v>73</v>
      </c>
      <c r="B327" s="1" t="s">
        <v>19</v>
      </c>
      <c r="C327" s="1" t="s">
        <v>3</v>
      </c>
      <c r="D327" s="1" t="s">
        <v>456</v>
      </c>
      <c r="E327" s="19">
        <v>44503.481249999997</v>
      </c>
      <c r="F327" s="1" t="s">
        <v>537</v>
      </c>
      <c r="G327" s="1" t="s">
        <v>480</v>
      </c>
      <c r="H327" s="4"/>
      <c r="I327" s="4">
        <v>1573</v>
      </c>
      <c r="J327" s="4"/>
      <c r="K327" s="5"/>
      <c r="L327" s="5"/>
      <c r="M327" s="11"/>
    </row>
    <row r="328" spans="1:13" x14ac:dyDescent="0.3">
      <c r="A328" s="1" t="s">
        <v>73</v>
      </c>
      <c r="B328" s="1" t="s">
        <v>19</v>
      </c>
      <c r="C328" s="1" t="s">
        <v>3</v>
      </c>
      <c r="D328" s="1" t="s">
        <v>456</v>
      </c>
      <c r="E328" s="19">
        <v>44503.481249999997</v>
      </c>
      <c r="F328" s="1" t="s">
        <v>533</v>
      </c>
      <c r="G328" s="1" t="s">
        <v>480</v>
      </c>
      <c r="H328" s="4"/>
      <c r="I328" s="4">
        <v>1573</v>
      </c>
      <c r="J328" s="4"/>
      <c r="K328" s="5" t="s">
        <v>289</v>
      </c>
      <c r="L328" s="5" t="s">
        <v>310</v>
      </c>
      <c r="M328" s="11">
        <v>480</v>
      </c>
    </row>
    <row r="329" spans="1:13" x14ac:dyDescent="0.3">
      <c r="A329" s="1" t="s">
        <v>61</v>
      </c>
      <c r="B329" s="1" t="s">
        <v>18</v>
      </c>
      <c r="C329" s="1" t="s">
        <v>8</v>
      </c>
      <c r="D329" s="1" t="s">
        <v>456</v>
      </c>
      <c r="E329" s="19">
        <v>44485.552777777775</v>
      </c>
      <c r="F329" s="1" t="s">
        <v>534</v>
      </c>
      <c r="G329" s="1" t="s">
        <v>482</v>
      </c>
      <c r="H329" s="4"/>
      <c r="I329" s="4">
        <v>2413</v>
      </c>
      <c r="J329" s="4"/>
      <c r="K329" s="5"/>
      <c r="L329" s="5"/>
      <c r="M329" s="11"/>
    </row>
    <row r="330" spans="1:13" x14ac:dyDescent="0.3">
      <c r="A330" s="1" t="s">
        <v>61</v>
      </c>
      <c r="B330" s="1" t="s">
        <v>18</v>
      </c>
      <c r="C330" s="1" t="s">
        <v>8</v>
      </c>
      <c r="D330" s="1" t="s">
        <v>456</v>
      </c>
      <c r="E330" s="19">
        <v>44485.552777777775</v>
      </c>
      <c r="F330" s="1" t="s">
        <v>535</v>
      </c>
      <c r="G330" s="1" t="s">
        <v>480</v>
      </c>
      <c r="H330" s="4"/>
      <c r="I330" s="4">
        <v>2413</v>
      </c>
      <c r="J330" s="4"/>
      <c r="K330" s="5"/>
      <c r="L330" s="5"/>
      <c r="M330" s="11"/>
    </row>
    <row r="331" spans="1:13" x14ac:dyDescent="0.3">
      <c r="A331" s="1" t="s">
        <v>61</v>
      </c>
      <c r="B331" s="1" t="s">
        <v>18</v>
      </c>
      <c r="C331" s="1" t="s">
        <v>8</v>
      </c>
      <c r="D331" s="1" t="s">
        <v>456</v>
      </c>
      <c r="E331" s="19">
        <v>44485.552777777775</v>
      </c>
      <c r="F331" s="1" t="s">
        <v>536</v>
      </c>
      <c r="G331" s="1" t="s">
        <v>480</v>
      </c>
      <c r="H331" s="4"/>
      <c r="I331" s="4">
        <v>2413</v>
      </c>
      <c r="J331" s="4"/>
      <c r="K331" s="5"/>
      <c r="L331" s="5"/>
      <c r="M331" s="11"/>
    </row>
    <row r="332" spans="1:13" x14ac:dyDescent="0.3">
      <c r="A332" s="1" t="s">
        <v>61</v>
      </c>
      <c r="B332" s="1" t="s">
        <v>18</v>
      </c>
      <c r="C332" s="1" t="s">
        <v>8</v>
      </c>
      <c r="D332" s="1" t="s">
        <v>456</v>
      </c>
      <c r="E332" s="19">
        <v>44485.552777777775</v>
      </c>
      <c r="F332" s="1" t="s">
        <v>533</v>
      </c>
      <c r="G332" s="1" t="s">
        <v>480</v>
      </c>
      <c r="H332" s="4"/>
      <c r="I332" s="4">
        <v>2413</v>
      </c>
      <c r="J332" s="4"/>
      <c r="K332" s="5" t="s">
        <v>288</v>
      </c>
      <c r="L332" s="5" t="s">
        <v>311</v>
      </c>
      <c r="M332" s="11">
        <v>640</v>
      </c>
    </row>
    <row r="333" spans="1:13" x14ac:dyDescent="0.3">
      <c r="A333" s="1" t="s">
        <v>62</v>
      </c>
      <c r="B333" s="1" t="s">
        <v>17</v>
      </c>
      <c r="C333" s="1" t="s">
        <v>1</v>
      </c>
      <c r="D333" s="1" t="s">
        <v>456</v>
      </c>
      <c r="E333" s="19">
        <v>44485.464583333334</v>
      </c>
      <c r="F333" s="1" t="s">
        <v>534</v>
      </c>
      <c r="G333" s="1" t="s">
        <v>482</v>
      </c>
      <c r="H333" s="4">
        <v>2</v>
      </c>
      <c r="I333" s="4">
        <v>2362</v>
      </c>
      <c r="J333" s="4"/>
      <c r="K333" s="5"/>
      <c r="L333" s="5"/>
      <c r="M333" s="11"/>
    </row>
    <row r="334" spans="1:13" x14ac:dyDescent="0.3">
      <c r="A334" s="1" t="s">
        <v>62</v>
      </c>
      <c r="B334" s="1" t="s">
        <v>17</v>
      </c>
      <c r="C334" s="1" t="s">
        <v>1</v>
      </c>
      <c r="D334" s="1" t="s">
        <v>456</v>
      </c>
      <c r="E334" s="19">
        <v>44485.464583333334</v>
      </c>
      <c r="F334" s="1" t="s">
        <v>535</v>
      </c>
      <c r="G334" s="1" t="s">
        <v>480</v>
      </c>
      <c r="H334" s="4">
        <v>2</v>
      </c>
      <c r="I334" s="4">
        <v>2362</v>
      </c>
      <c r="J334" s="4"/>
      <c r="K334" s="5"/>
      <c r="L334" s="5"/>
      <c r="M334" s="11"/>
    </row>
    <row r="335" spans="1:13" x14ac:dyDescent="0.3">
      <c r="A335" s="1" t="s">
        <v>62</v>
      </c>
      <c r="B335" s="1" t="s">
        <v>17</v>
      </c>
      <c r="C335" s="1" t="s">
        <v>1</v>
      </c>
      <c r="D335" s="1" t="s">
        <v>456</v>
      </c>
      <c r="E335" s="19">
        <v>44485.464583333334</v>
      </c>
      <c r="F335" s="1" t="s">
        <v>538</v>
      </c>
      <c r="G335" s="1" t="s">
        <v>480</v>
      </c>
      <c r="H335" s="4">
        <v>2</v>
      </c>
      <c r="I335" s="4">
        <v>2362</v>
      </c>
      <c r="J335" s="4"/>
      <c r="K335" s="5"/>
      <c r="L335" s="5"/>
      <c r="M335" s="11"/>
    </row>
    <row r="336" spans="1:13" x14ac:dyDescent="0.3">
      <c r="A336" s="1" t="s">
        <v>62</v>
      </c>
      <c r="B336" s="1" t="s">
        <v>17</v>
      </c>
      <c r="C336" s="1" t="s">
        <v>1</v>
      </c>
      <c r="D336" s="1" t="s">
        <v>456</v>
      </c>
      <c r="E336" s="19">
        <v>44485.464583333334</v>
      </c>
      <c r="F336" s="1" t="s">
        <v>533</v>
      </c>
      <c r="G336" s="1" t="s">
        <v>480</v>
      </c>
      <c r="H336" s="4">
        <v>2</v>
      </c>
      <c r="I336" s="4">
        <v>2362</v>
      </c>
      <c r="J336" s="4"/>
      <c r="K336" s="5" t="s">
        <v>288</v>
      </c>
      <c r="L336" s="5" t="s">
        <v>313</v>
      </c>
      <c r="M336" s="11">
        <v>1600</v>
      </c>
    </row>
    <row r="337" spans="1:13" x14ac:dyDescent="0.3">
      <c r="A337" s="1" t="s">
        <v>66</v>
      </c>
      <c r="B337" s="1" t="s">
        <v>54</v>
      </c>
      <c r="C337" s="1" t="s">
        <v>53</v>
      </c>
      <c r="D337" s="1" t="s">
        <v>456</v>
      </c>
      <c r="E337" s="19">
        <v>44462.901388888888</v>
      </c>
      <c r="F337" s="1" t="s">
        <v>533</v>
      </c>
      <c r="G337" s="1" t="s">
        <v>482</v>
      </c>
      <c r="H337" s="4"/>
      <c r="I337" s="4">
        <v>2368</v>
      </c>
      <c r="J337" s="4"/>
      <c r="K337" s="5"/>
      <c r="L337" s="5"/>
      <c r="M337" s="11"/>
    </row>
    <row r="338" spans="1:13" x14ac:dyDescent="0.3">
      <c r="A338" s="1" t="s">
        <v>75</v>
      </c>
      <c r="B338" s="1" t="s">
        <v>16</v>
      </c>
      <c r="C338" s="1" t="s">
        <v>4</v>
      </c>
      <c r="D338" s="1" t="s">
        <v>456</v>
      </c>
      <c r="E338" s="19">
        <v>44462.900694444441</v>
      </c>
      <c r="F338" s="1" t="s">
        <v>534</v>
      </c>
      <c r="G338" s="1" t="s">
        <v>482</v>
      </c>
      <c r="H338" s="4"/>
      <c r="I338" s="4">
        <v>2370</v>
      </c>
      <c r="J338" s="4"/>
      <c r="K338" s="5"/>
      <c r="L338" s="5"/>
      <c r="M338" s="11"/>
    </row>
    <row r="339" spans="1:13" x14ac:dyDescent="0.3">
      <c r="A339" s="1" t="s">
        <v>75</v>
      </c>
      <c r="B339" s="1" t="s">
        <v>16</v>
      </c>
      <c r="C339" s="1" t="s">
        <v>4</v>
      </c>
      <c r="D339" s="1" t="s">
        <v>456</v>
      </c>
      <c r="E339" s="19">
        <v>44462.900694444441</v>
      </c>
      <c r="F339" s="1" t="s">
        <v>535</v>
      </c>
      <c r="G339" s="1" t="s">
        <v>480</v>
      </c>
      <c r="H339" s="4"/>
      <c r="I339" s="4">
        <v>2370</v>
      </c>
      <c r="J339" s="4"/>
      <c r="K339" s="5"/>
      <c r="L339" s="5"/>
      <c r="M339" s="11"/>
    </row>
    <row r="340" spans="1:13" x14ac:dyDescent="0.3">
      <c r="A340" s="1" t="s">
        <v>75</v>
      </c>
      <c r="B340" s="1" t="s">
        <v>16</v>
      </c>
      <c r="C340" s="1" t="s">
        <v>4</v>
      </c>
      <c r="D340" s="1" t="s">
        <v>456</v>
      </c>
      <c r="E340" s="19">
        <v>44462.900694444441</v>
      </c>
      <c r="F340" s="1" t="s">
        <v>539</v>
      </c>
      <c r="G340" s="1" t="s">
        <v>480</v>
      </c>
      <c r="H340" s="4"/>
      <c r="I340" s="4">
        <v>2370</v>
      </c>
      <c r="J340" s="4"/>
      <c r="K340" s="5"/>
      <c r="L340" s="5"/>
      <c r="M340" s="11"/>
    </row>
    <row r="341" spans="1:13" x14ac:dyDescent="0.3">
      <c r="A341" s="1" t="s">
        <v>75</v>
      </c>
      <c r="B341" s="1" t="s">
        <v>16</v>
      </c>
      <c r="C341" s="1" t="s">
        <v>4</v>
      </c>
      <c r="D341" s="1" t="s">
        <v>456</v>
      </c>
      <c r="E341" s="19">
        <v>44462.900694444441</v>
      </c>
      <c r="F341" s="1" t="s">
        <v>533</v>
      </c>
      <c r="G341" s="1" t="s">
        <v>480</v>
      </c>
      <c r="H341" s="4"/>
      <c r="I341" s="4">
        <v>2370</v>
      </c>
      <c r="J341" s="4"/>
      <c r="K341" s="5"/>
      <c r="L341" s="5"/>
      <c r="M341" s="11"/>
    </row>
    <row r="342" spans="1:13" x14ac:dyDescent="0.3">
      <c r="A342" s="1" t="s">
        <v>74</v>
      </c>
      <c r="B342" s="1" t="s">
        <v>211</v>
      </c>
      <c r="C342" s="1" t="s">
        <v>4</v>
      </c>
      <c r="D342" s="1" t="s">
        <v>456</v>
      </c>
      <c r="E342" s="19">
        <v>44462.509722222225</v>
      </c>
      <c r="F342" s="1" t="s">
        <v>533</v>
      </c>
      <c r="G342" s="1" t="s">
        <v>480</v>
      </c>
      <c r="H342" s="4"/>
      <c r="I342" s="4">
        <v>2485</v>
      </c>
      <c r="J342" s="4"/>
      <c r="K342" s="5"/>
      <c r="L342" s="5"/>
      <c r="M342" s="11"/>
    </row>
    <row r="343" spans="1:13" x14ac:dyDescent="0.3">
      <c r="A343" s="1" t="s">
        <v>90</v>
      </c>
      <c r="B343" s="1" t="s">
        <v>15</v>
      </c>
      <c r="C343" s="1" t="s">
        <v>2</v>
      </c>
      <c r="D343" s="1" t="s">
        <v>456</v>
      </c>
      <c r="E343" s="19">
        <v>44462.421527777777</v>
      </c>
      <c r="F343" s="1" t="s">
        <v>534</v>
      </c>
      <c r="G343" s="1" t="s">
        <v>482</v>
      </c>
      <c r="H343" s="4">
        <v>1</v>
      </c>
      <c r="I343" s="4">
        <v>2528</v>
      </c>
      <c r="J343" s="4"/>
      <c r="K343" s="5"/>
      <c r="L343" s="5"/>
      <c r="M343" s="11"/>
    </row>
    <row r="344" spans="1:13" x14ac:dyDescent="0.3">
      <c r="A344" s="1" t="s">
        <v>90</v>
      </c>
      <c r="B344" s="1" t="s">
        <v>15</v>
      </c>
      <c r="C344" s="1" t="s">
        <v>2</v>
      </c>
      <c r="D344" s="1" t="s">
        <v>456</v>
      </c>
      <c r="E344" s="19">
        <v>44462.421527777777</v>
      </c>
      <c r="F344" s="1" t="s">
        <v>535</v>
      </c>
      <c r="G344" s="1" t="s">
        <v>480</v>
      </c>
      <c r="H344" s="4">
        <v>1</v>
      </c>
      <c r="I344" s="4">
        <v>2528</v>
      </c>
      <c r="J344" s="4"/>
      <c r="K344" s="5"/>
      <c r="L344" s="5"/>
      <c r="M344" s="11"/>
    </row>
    <row r="345" spans="1:13" x14ac:dyDescent="0.3">
      <c r="A345" s="1" t="s">
        <v>90</v>
      </c>
      <c r="B345" s="1" t="s">
        <v>15</v>
      </c>
      <c r="C345" s="1" t="s">
        <v>2</v>
      </c>
      <c r="D345" s="1" t="s">
        <v>456</v>
      </c>
      <c r="E345" s="19">
        <v>44462.421527777777</v>
      </c>
      <c r="F345" s="1" t="s">
        <v>536</v>
      </c>
      <c r="G345" s="1" t="s">
        <v>480</v>
      </c>
      <c r="H345" s="4">
        <v>1</v>
      </c>
      <c r="I345" s="4">
        <v>2528</v>
      </c>
      <c r="J345" s="4"/>
      <c r="K345" s="5"/>
      <c r="L345" s="5"/>
      <c r="M345" s="11"/>
    </row>
    <row r="346" spans="1:13" x14ac:dyDescent="0.3">
      <c r="A346" s="1" t="s">
        <v>90</v>
      </c>
      <c r="B346" s="1" t="s">
        <v>15</v>
      </c>
      <c r="C346" s="1" t="s">
        <v>2</v>
      </c>
      <c r="D346" s="1" t="s">
        <v>456</v>
      </c>
      <c r="E346" s="19">
        <v>44462.421527777777</v>
      </c>
      <c r="F346" s="1" t="s">
        <v>533</v>
      </c>
      <c r="G346" s="1" t="s">
        <v>480</v>
      </c>
      <c r="H346" s="4">
        <v>1</v>
      </c>
      <c r="I346" s="4">
        <v>2528</v>
      </c>
      <c r="J346" s="4"/>
      <c r="K346" s="5" t="s">
        <v>288</v>
      </c>
      <c r="L346" s="5" t="s">
        <v>310</v>
      </c>
      <c r="M346" s="11">
        <v>2400</v>
      </c>
    </row>
    <row r="347" spans="1:13" x14ac:dyDescent="0.3">
      <c r="A347" s="1"/>
      <c r="B347" s="1"/>
      <c r="C347" s="1"/>
      <c r="D347" s="1"/>
      <c r="E347" s="19">
        <v>44002.000011574077</v>
      </c>
      <c r="F347" s="1" t="s">
        <v>564</v>
      </c>
      <c r="G347" s="1" t="s">
        <v>560</v>
      </c>
      <c r="H347" s="4"/>
      <c r="I347" s="4"/>
      <c r="J347" s="4"/>
      <c r="K347" s="5"/>
      <c r="L347" s="5"/>
      <c r="M347" s="11"/>
    </row>
    <row r="348" spans="1:13" x14ac:dyDescent="0.3">
      <c r="A348" s="1" t="s">
        <v>62</v>
      </c>
      <c r="B348" s="1" t="s">
        <v>17</v>
      </c>
      <c r="C348" s="1" t="s">
        <v>32</v>
      </c>
      <c r="D348" s="1" t="s">
        <v>456</v>
      </c>
      <c r="E348" s="19">
        <v>43466.000011574077</v>
      </c>
      <c r="F348" s="1" t="s">
        <v>540</v>
      </c>
      <c r="G348" s="1" t="s">
        <v>480</v>
      </c>
      <c r="H348" s="4"/>
      <c r="I348" s="4">
        <v>2414</v>
      </c>
      <c r="J348" s="4"/>
      <c r="K348" s="5" t="s">
        <v>288</v>
      </c>
      <c r="L348" s="5" t="s">
        <v>313</v>
      </c>
      <c r="M348" s="11"/>
    </row>
    <row r="349" spans="1:13" x14ac:dyDescent="0.3">
      <c r="A349" s="1" t="s">
        <v>112</v>
      </c>
      <c r="B349" s="1" t="s">
        <v>113</v>
      </c>
      <c r="C349" s="1" t="s">
        <v>32</v>
      </c>
      <c r="D349" s="1" t="s">
        <v>456</v>
      </c>
      <c r="E349" s="19">
        <v>43466.000011574077</v>
      </c>
      <c r="F349" s="1" t="s">
        <v>540</v>
      </c>
      <c r="G349" s="1" t="s">
        <v>480</v>
      </c>
      <c r="H349" s="4"/>
      <c r="I349" s="4">
        <v>2313</v>
      </c>
      <c r="J349" s="4"/>
      <c r="K349" s="5" t="s">
        <v>288</v>
      </c>
      <c r="L349" s="5" t="s">
        <v>312</v>
      </c>
      <c r="M349" s="11"/>
    </row>
    <row r="350" spans="1:13" x14ac:dyDescent="0.3">
      <c r="A350" s="1" t="s">
        <v>297</v>
      </c>
      <c r="B350" s="1" t="s">
        <v>298</v>
      </c>
      <c r="C350" s="1" t="s">
        <v>32</v>
      </c>
      <c r="D350" s="1" t="s">
        <v>456</v>
      </c>
      <c r="E350" s="19">
        <v>43466.000011574077</v>
      </c>
      <c r="F350" s="1" t="s">
        <v>540</v>
      </c>
      <c r="G350" s="1" t="s">
        <v>480</v>
      </c>
      <c r="H350" s="4"/>
      <c r="I350" s="4">
        <v>1898</v>
      </c>
      <c r="J350" s="4"/>
      <c r="K350" s="5" t="s">
        <v>288</v>
      </c>
      <c r="L350" s="5" t="s">
        <v>311</v>
      </c>
      <c r="M350" s="11"/>
    </row>
    <row r="351" spans="1:13" x14ac:dyDescent="0.3">
      <c r="A351" s="1" t="s">
        <v>90</v>
      </c>
      <c r="B351" s="1" t="s">
        <v>15</v>
      </c>
      <c r="C351" s="1" t="s">
        <v>32</v>
      </c>
      <c r="D351" s="1" t="s">
        <v>456</v>
      </c>
      <c r="E351" s="19">
        <v>43466.000011574077</v>
      </c>
      <c r="F351" s="1" t="s">
        <v>540</v>
      </c>
      <c r="G351" s="1" t="s">
        <v>480</v>
      </c>
      <c r="H351" s="4"/>
      <c r="I351" s="4">
        <v>2448</v>
      </c>
      <c r="J351" s="4"/>
      <c r="K351" s="5" t="s">
        <v>288</v>
      </c>
      <c r="L351" s="5" t="s">
        <v>310</v>
      </c>
      <c r="M351" s="11"/>
    </row>
    <row r="352" spans="1:13" x14ac:dyDescent="0.3">
      <c r="A352" s="1" t="s">
        <v>309</v>
      </c>
      <c r="B352" s="1" t="s">
        <v>308</v>
      </c>
      <c r="C352" s="1" t="s">
        <v>161</v>
      </c>
      <c r="D352" s="1" t="s">
        <v>456</v>
      </c>
      <c r="E352" s="19">
        <v>43101.000011574077</v>
      </c>
      <c r="F352" s="1" t="s">
        <v>541</v>
      </c>
      <c r="G352" s="1" t="s">
        <v>480</v>
      </c>
      <c r="H352" s="4"/>
      <c r="I352" s="4">
        <v>2470</v>
      </c>
      <c r="J352" s="4"/>
      <c r="K352" s="5" t="s">
        <v>288</v>
      </c>
      <c r="L352" s="5" t="s">
        <v>311</v>
      </c>
      <c r="M352" s="11"/>
    </row>
    <row r="353" spans="1:13" x14ac:dyDescent="0.3">
      <c r="A353" s="1" t="s">
        <v>69</v>
      </c>
      <c r="B353" s="1" t="s">
        <v>210</v>
      </c>
      <c r="C353" s="1" t="s">
        <v>32</v>
      </c>
      <c r="D353" s="1" t="s">
        <v>456</v>
      </c>
      <c r="E353" s="19">
        <v>43101.000011574077</v>
      </c>
      <c r="F353" s="1" t="s">
        <v>541</v>
      </c>
      <c r="G353" s="1" t="s">
        <v>480</v>
      </c>
      <c r="H353" s="4"/>
      <c r="I353" s="4">
        <v>2364</v>
      </c>
      <c r="J353" s="4"/>
      <c r="K353" s="5" t="s">
        <v>288</v>
      </c>
      <c r="L353" s="5" t="s">
        <v>313</v>
      </c>
      <c r="M353" s="11"/>
    </row>
    <row r="354" spans="1:13" x14ac:dyDescent="0.3">
      <c r="A354" s="1" t="s">
        <v>90</v>
      </c>
      <c r="B354" s="1" t="s">
        <v>15</v>
      </c>
      <c r="C354" s="1" t="s">
        <v>32</v>
      </c>
      <c r="D354" s="1" t="s">
        <v>456</v>
      </c>
      <c r="E354" s="19">
        <v>43101.000011574077</v>
      </c>
      <c r="F354" s="1" t="s">
        <v>541</v>
      </c>
      <c r="G354" s="1" t="s">
        <v>480</v>
      </c>
      <c r="H354" s="4"/>
      <c r="I354" s="4">
        <v>2460</v>
      </c>
      <c r="J354" s="4"/>
      <c r="K354" s="5" t="s">
        <v>288</v>
      </c>
      <c r="L354" s="5" t="s">
        <v>310</v>
      </c>
      <c r="M354" s="11"/>
    </row>
    <row r="355" spans="1:13" x14ac:dyDescent="0.3">
      <c r="A355" s="1" t="s">
        <v>78</v>
      </c>
      <c r="B355" s="1" t="s">
        <v>294</v>
      </c>
      <c r="C355" s="1" t="s">
        <v>4</v>
      </c>
      <c r="D355" s="1" t="s">
        <v>456</v>
      </c>
      <c r="E355" s="19">
        <v>43101.000011574077</v>
      </c>
      <c r="F355" s="1" t="s">
        <v>541</v>
      </c>
      <c r="G355" s="1" t="s">
        <v>480</v>
      </c>
      <c r="H355" s="4"/>
      <c r="I355" s="4">
        <v>2563</v>
      </c>
      <c r="J355" s="4"/>
      <c r="K355" s="5" t="s">
        <v>288</v>
      </c>
      <c r="L355" s="5" t="s">
        <v>312</v>
      </c>
      <c r="M355" s="11"/>
    </row>
    <row r="356" spans="1:13" x14ac:dyDescent="0.3">
      <c r="A356" s="1" t="s">
        <v>189</v>
      </c>
      <c r="B356" s="1" t="s">
        <v>190</v>
      </c>
      <c r="C356" s="1" t="s">
        <v>193</v>
      </c>
      <c r="D356" s="1" t="s">
        <v>456</v>
      </c>
      <c r="E356" s="19">
        <v>43101.000011574077</v>
      </c>
      <c r="F356" s="1" t="s">
        <v>541</v>
      </c>
      <c r="G356" s="1" t="s">
        <v>480</v>
      </c>
      <c r="H356" s="4"/>
      <c r="I356" s="4">
        <v>2726</v>
      </c>
      <c r="J356" s="4"/>
      <c r="K356" s="5"/>
      <c r="L356" s="5"/>
      <c r="M356" s="11"/>
    </row>
    <row r="357" spans="1:13" x14ac:dyDescent="0.3">
      <c r="A357" s="1" t="s">
        <v>112</v>
      </c>
      <c r="B357" s="1" t="s">
        <v>113</v>
      </c>
      <c r="C357" s="1" t="s">
        <v>32</v>
      </c>
      <c r="D357" s="1" t="s">
        <v>456</v>
      </c>
      <c r="E357" s="19">
        <v>42736.000011574077</v>
      </c>
      <c r="F357" s="1" t="s">
        <v>542</v>
      </c>
      <c r="G357" s="1" t="s">
        <v>480</v>
      </c>
      <c r="H357" s="4"/>
      <c r="I357" s="4">
        <v>2318</v>
      </c>
      <c r="J357" s="4"/>
      <c r="K357" s="5" t="s">
        <v>288</v>
      </c>
      <c r="L357" s="5" t="s">
        <v>312</v>
      </c>
      <c r="M357" s="11"/>
    </row>
    <row r="358" spans="1:13" x14ac:dyDescent="0.3">
      <c r="A358" s="1" t="s">
        <v>69</v>
      </c>
      <c r="B358" s="1" t="s">
        <v>210</v>
      </c>
      <c r="C358" s="1" t="s">
        <v>32</v>
      </c>
      <c r="D358" s="1" t="s">
        <v>456</v>
      </c>
      <c r="E358" s="19">
        <v>42736.000011574077</v>
      </c>
      <c r="F358" s="1" t="s">
        <v>542</v>
      </c>
      <c r="G358" s="1" t="s">
        <v>480</v>
      </c>
      <c r="H358" s="4"/>
      <c r="I358" s="4">
        <v>2338</v>
      </c>
      <c r="J358" s="4"/>
      <c r="K358" s="5" t="s">
        <v>288</v>
      </c>
      <c r="L358" s="5" t="s">
        <v>313</v>
      </c>
      <c r="M358" s="11"/>
    </row>
    <row r="359" spans="1:13" x14ac:dyDescent="0.3">
      <c r="A359" s="1" t="s">
        <v>90</v>
      </c>
      <c r="B359" s="1" t="s">
        <v>15</v>
      </c>
      <c r="C359" s="1" t="s">
        <v>32</v>
      </c>
      <c r="D359" s="1" t="s">
        <v>456</v>
      </c>
      <c r="E359" s="19">
        <v>42736.000011574077</v>
      </c>
      <c r="F359" s="1" t="s">
        <v>542</v>
      </c>
      <c r="G359" s="1" t="s">
        <v>480</v>
      </c>
      <c r="H359" s="4"/>
      <c r="I359" s="4">
        <v>2442</v>
      </c>
      <c r="J359" s="4"/>
      <c r="K359" s="5" t="s">
        <v>288</v>
      </c>
      <c r="L359" s="5" t="s">
        <v>310</v>
      </c>
      <c r="M359" s="11"/>
    </row>
    <row r="360" spans="1:13" x14ac:dyDescent="0.3">
      <c r="A360" s="1" t="s">
        <v>232</v>
      </c>
      <c r="B360" s="1" t="s">
        <v>233</v>
      </c>
      <c r="C360" s="1" t="s">
        <v>6</v>
      </c>
      <c r="D360" s="1" t="s">
        <v>456</v>
      </c>
      <c r="E360" s="19">
        <v>42736.000011574077</v>
      </c>
      <c r="F360" s="1" t="s">
        <v>542</v>
      </c>
      <c r="G360" s="1" t="s">
        <v>480</v>
      </c>
      <c r="H360" s="4"/>
      <c r="I360" s="4">
        <v>2291</v>
      </c>
      <c r="J360" s="4"/>
      <c r="K360" s="5" t="s">
        <v>288</v>
      </c>
      <c r="L360" s="5" t="s">
        <v>311</v>
      </c>
      <c r="M360" s="11"/>
    </row>
    <row r="361" spans="1:13" x14ac:dyDescent="0.3">
      <c r="A361" s="1" t="s">
        <v>301</v>
      </c>
      <c r="B361" s="1" t="s">
        <v>302</v>
      </c>
      <c r="C361" s="1" t="s">
        <v>161</v>
      </c>
      <c r="D361" s="1" t="s">
        <v>456</v>
      </c>
      <c r="E361" s="19">
        <v>42370.000011574077</v>
      </c>
      <c r="F361" s="1" t="s">
        <v>543</v>
      </c>
      <c r="G361" s="1" t="s">
        <v>480</v>
      </c>
      <c r="H361" s="4"/>
      <c r="I361" s="4">
        <v>2356</v>
      </c>
      <c r="J361" s="4"/>
      <c r="K361" s="5" t="s">
        <v>288</v>
      </c>
      <c r="L361" s="5" t="s">
        <v>311</v>
      </c>
      <c r="M361" s="11"/>
    </row>
    <row r="362" spans="1:13" x14ac:dyDescent="0.3">
      <c r="A362" s="1" t="s">
        <v>112</v>
      </c>
      <c r="B362" s="1" t="s">
        <v>113</v>
      </c>
      <c r="C362" s="1" t="s">
        <v>32</v>
      </c>
      <c r="D362" s="1" t="s">
        <v>456</v>
      </c>
      <c r="E362" s="19">
        <v>42370.000011574077</v>
      </c>
      <c r="F362" s="1" t="s">
        <v>543</v>
      </c>
      <c r="G362" s="1" t="s">
        <v>480</v>
      </c>
      <c r="H362" s="4"/>
      <c r="I362" s="4">
        <v>2318</v>
      </c>
      <c r="J362" s="4"/>
      <c r="K362" s="5" t="s">
        <v>288</v>
      </c>
      <c r="L362" s="5" t="s">
        <v>312</v>
      </c>
      <c r="M362" s="11"/>
    </row>
    <row r="363" spans="1:13" x14ac:dyDescent="0.3">
      <c r="A363" s="1" t="s">
        <v>69</v>
      </c>
      <c r="B363" s="1" t="s">
        <v>210</v>
      </c>
      <c r="C363" s="1" t="s">
        <v>32</v>
      </c>
      <c r="D363" s="1" t="s">
        <v>456</v>
      </c>
      <c r="E363" s="19">
        <v>42370.000011574077</v>
      </c>
      <c r="F363" s="1" t="s">
        <v>543</v>
      </c>
      <c r="G363" s="1" t="s">
        <v>480</v>
      </c>
      <c r="H363" s="4"/>
      <c r="I363" s="4">
        <v>2383</v>
      </c>
      <c r="J363" s="4"/>
      <c r="K363" s="5" t="s">
        <v>288</v>
      </c>
      <c r="L363" s="5" t="s">
        <v>313</v>
      </c>
      <c r="M363" s="11"/>
    </row>
    <row r="364" spans="1:13" x14ac:dyDescent="0.3">
      <c r="A364" s="1" t="s">
        <v>90</v>
      </c>
      <c r="B364" s="1" t="s">
        <v>15</v>
      </c>
      <c r="C364" s="1" t="s">
        <v>32</v>
      </c>
      <c r="D364" s="1" t="s">
        <v>456</v>
      </c>
      <c r="E364" s="19">
        <v>42370.000011574077</v>
      </c>
      <c r="F364" s="1" t="s">
        <v>543</v>
      </c>
      <c r="G364" s="1" t="s">
        <v>480</v>
      </c>
      <c r="H364" s="4"/>
      <c r="I364" s="4">
        <v>2414</v>
      </c>
      <c r="J364" s="4"/>
      <c r="K364" s="5" t="s">
        <v>288</v>
      </c>
      <c r="L364" s="5" t="s">
        <v>310</v>
      </c>
      <c r="M364" s="11"/>
    </row>
    <row r="365" spans="1:13" x14ac:dyDescent="0.3">
      <c r="A365" s="1" t="s">
        <v>125</v>
      </c>
      <c r="B365" s="1" t="s">
        <v>217</v>
      </c>
      <c r="C365" s="1" t="s">
        <v>32</v>
      </c>
      <c r="D365" s="1" t="s">
        <v>456</v>
      </c>
      <c r="E365" s="19">
        <v>42005.000011574077</v>
      </c>
      <c r="F365" s="1" t="s">
        <v>544</v>
      </c>
      <c r="G365" s="1" t="s">
        <v>480</v>
      </c>
      <c r="H365" s="4"/>
      <c r="I365" s="4">
        <v>2116</v>
      </c>
      <c r="J365" s="4"/>
      <c r="K365" s="5" t="s">
        <v>288</v>
      </c>
      <c r="L365" s="5" t="s">
        <v>312</v>
      </c>
      <c r="M365" s="11"/>
    </row>
    <row r="366" spans="1:13" x14ac:dyDescent="0.3">
      <c r="A366" s="1" t="s">
        <v>69</v>
      </c>
      <c r="B366" s="1" t="s">
        <v>210</v>
      </c>
      <c r="C366" s="1" t="s">
        <v>32</v>
      </c>
      <c r="D366" s="1" t="s">
        <v>456</v>
      </c>
      <c r="E366" s="19">
        <v>42005.000011574077</v>
      </c>
      <c r="F366" s="1" t="s">
        <v>544</v>
      </c>
      <c r="G366" s="1" t="s">
        <v>480</v>
      </c>
      <c r="H366" s="4"/>
      <c r="I366" s="4">
        <v>2399</v>
      </c>
      <c r="J366" s="4"/>
      <c r="K366" s="5" t="s">
        <v>288</v>
      </c>
      <c r="L366" s="5" t="s">
        <v>310</v>
      </c>
      <c r="M366" s="11"/>
    </row>
    <row r="367" spans="1:13" x14ac:dyDescent="0.3">
      <c r="A367" s="1" t="s">
        <v>303</v>
      </c>
      <c r="B367" s="1" t="s">
        <v>304</v>
      </c>
      <c r="C367" s="1" t="s">
        <v>8</v>
      </c>
      <c r="D367" s="1" t="s">
        <v>456</v>
      </c>
      <c r="E367" s="19">
        <v>42005.000011574077</v>
      </c>
      <c r="F367" s="1" t="s">
        <v>544</v>
      </c>
      <c r="G367" s="1" t="s">
        <v>480</v>
      </c>
      <c r="H367" s="4"/>
      <c r="I367" s="4">
        <v>2333</v>
      </c>
      <c r="J367" s="4"/>
      <c r="K367" s="5" t="s">
        <v>288</v>
      </c>
      <c r="L367" s="5" t="s">
        <v>311</v>
      </c>
      <c r="M367" s="11"/>
    </row>
    <row r="368" spans="1:13" x14ac:dyDescent="0.3">
      <c r="A368" s="1" t="s">
        <v>78</v>
      </c>
      <c r="B368" s="1" t="s">
        <v>294</v>
      </c>
      <c r="C368" s="1" t="s">
        <v>8</v>
      </c>
      <c r="D368" s="1" t="s">
        <v>456</v>
      </c>
      <c r="E368" s="19">
        <v>42005.000011574077</v>
      </c>
      <c r="F368" s="1" t="s">
        <v>544</v>
      </c>
      <c r="G368" s="1" t="s">
        <v>480</v>
      </c>
      <c r="H368" s="4"/>
      <c r="I368" s="4">
        <v>2615</v>
      </c>
      <c r="J368" s="4"/>
      <c r="K368" s="5" t="s">
        <v>288</v>
      </c>
      <c r="L368" s="5" t="s">
        <v>313</v>
      </c>
      <c r="M368" s="11"/>
    </row>
    <row r="369" spans="1:13" x14ac:dyDescent="0.3">
      <c r="A369" s="1" t="s">
        <v>78</v>
      </c>
      <c r="B369" s="1" t="s">
        <v>294</v>
      </c>
      <c r="C369" s="1" t="s">
        <v>8</v>
      </c>
      <c r="D369" s="1" t="s">
        <v>456</v>
      </c>
      <c r="E369" s="19">
        <v>41640.000011574077</v>
      </c>
      <c r="F369" s="1" t="s">
        <v>545</v>
      </c>
      <c r="G369" s="1" t="s">
        <v>480</v>
      </c>
      <c r="H369" s="4"/>
      <c r="I369" s="4">
        <v>2599</v>
      </c>
      <c r="J369" s="4"/>
      <c r="K369" s="5" t="s">
        <v>288</v>
      </c>
      <c r="L369" s="5" t="s">
        <v>313</v>
      </c>
      <c r="M369" s="11"/>
    </row>
    <row r="370" spans="1:13" x14ac:dyDescent="0.3">
      <c r="A370" s="1" t="s">
        <v>296</v>
      </c>
      <c r="B370" s="1" t="s">
        <v>295</v>
      </c>
      <c r="C370" s="1" t="s">
        <v>8</v>
      </c>
      <c r="D370" s="1" t="s">
        <v>456</v>
      </c>
      <c r="E370" s="19">
        <v>41640.000011574077</v>
      </c>
      <c r="F370" s="1" t="s">
        <v>545</v>
      </c>
      <c r="G370" s="1" t="s">
        <v>480</v>
      </c>
      <c r="H370" s="4"/>
      <c r="I370" s="4">
        <v>2667</v>
      </c>
      <c r="J370" s="4"/>
      <c r="K370" s="5" t="s">
        <v>288</v>
      </c>
      <c r="L370" s="5" t="s">
        <v>310</v>
      </c>
      <c r="M370" s="11"/>
    </row>
  </sheetData>
  <sheetProtection selectLockedCells="1" autoFilter="0"/>
  <mergeCells count="2">
    <mergeCell ref="A1:M1"/>
    <mergeCell ref="A2:M2"/>
  </mergeCells>
  <phoneticPr fontId="18" type="noConversion"/>
  <dataValidations count="11">
    <dataValidation type="whole" operator="greaterThan" allowBlank="1" showInputMessage="1" showErrorMessage="1" sqref="J350:J366 J177:J348 I4:I370" xr:uid="{A6F476D3-34A6-4564-B977-3EC6F8027514}">
      <formula1>0</formula1>
    </dataValidation>
    <dataValidation type="date" operator="greaterThanOrEqual" allowBlank="1" showInputMessage="1" showErrorMessage="1" sqref="E4:E370" xr:uid="{995515D0-D0FA-4310-9DEF-89E55AC8612E}">
      <formula1>1</formula1>
    </dataValidation>
    <dataValidation type="whole" operator="greaterThanOrEqual" allowBlank="1" showInputMessage="1" showErrorMessage="1" sqref="M4:M370" xr:uid="{C02E790C-FCF6-4E20-873C-7EA8BE773038}">
      <formula1>0</formula1>
    </dataValidation>
    <dataValidation type="list" allowBlank="1" showInputMessage="1" showErrorMessage="1" sqref="C4:C370" xr:uid="{CBC35E08-8F2F-4FB1-9A03-74B97E17AF2D}">
      <formula1>tbl_Bordtennisklub_d1</formula1>
    </dataValidation>
    <dataValidation type="list" allowBlank="1" showInputMessage="1" showErrorMessage="1" sqref="D4:D370" xr:uid="{C7D62BCA-6D60-42CE-9BC6-E5DEA3F592D3}">
      <formula1>tbl_Køn_d1</formula1>
    </dataValidation>
    <dataValidation type="custom" allowBlank="1" showInputMessage="1" showErrorMessage="1" sqref="A4:A370" xr:uid="{63C00698-7C67-44DF-9DA2-50E1FCF08326}">
      <formula1>AND(LEN(A4)=11,ISNUMBER(VALUE(LEFT(A4,6))),MID(A4,7,1)="‑")</formula1>
    </dataValidation>
    <dataValidation type="list" allowBlank="1" showInputMessage="1" showErrorMessage="1" sqref="L4:L370" xr:uid="{C37D04EF-685C-4934-BCD0-B8BEC449689D}">
      <formula1>tbl_Placering_d1</formula1>
    </dataValidation>
    <dataValidation type="list" operator="greaterThan" allowBlank="1" showInputMessage="1" showErrorMessage="1" sqref="K4:K370" xr:uid="{C52127B1-26B4-4269-BE5A-02B6EA5B3663}">
      <formula1>tbl_Slutspil_d1</formula1>
    </dataValidation>
    <dataValidation type="list" allowBlank="1" showInputMessage="1" showErrorMessage="1" sqref="H4:H370" xr:uid="{0255797E-4E81-4544-9E2C-D20936C81EEA}">
      <formula1>"1,2,3,4"</formula1>
    </dataValidation>
    <dataValidation type="list" allowBlank="1" showInputMessage="1" showErrorMessage="1" sqref="G4:G370" xr:uid="{37448FD3-2493-4F82-92A5-A1EB8776A481}">
      <formula1>tbl_Tilmeldingsstatus_d1</formula1>
    </dataValidation>
    <dataValidation type="list" allowBlank="1" showInputMessage="1" showErrorMessage="1" sqref="F4:F370" xr:uid="{5CD19BE0-973F-4A32-8BDF-0EAFB785A627}">
      <formula1>tbl_Event_år_billettype_d1</formula1>
    </dataValidation>
  </dataValidations>
  <printOptions horizontalCentered="1"/>
  <pageMargins left="0.70866141732283472" right="0.70866141732283472" top="1.1811023622047245" bottom="0.74803149606299213" header="0.31496062992125984" footer="0.31496062992125984"/>
  <pageSetup paperSize="8" scale="12" orientation="landscape" r:id="rId1"/>
  <headerFooter>
    <oddHeader>&amp;C&amp;D
&amp;F</oddHeader>
    <oddFooter>&amp;CSide &amp;"-,Fed"&amp;P&amp;"-,Normal" af &amp;"-,Fed"&amp;N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A788-B1B2-4A4A-976E-5DB3EE910CAB}">
  <sheetPr codeName="Ark2">
    <tabColor theme="7" tint="0.79998168889431442"/>
  </sheetPr>
  <dimension ref="A1:F7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19.33203125" bestFit="1" customWidth="1"/>
    <col min="2" max="2" width="19.21875" bestFit="1" customWidth="1"/>
    <col min="3" max="3" width="18.44140625" bestFit="1" customWidth="1"/>
    <col min="4" max="4" width="22.21875" bestFit="1" customWidth="1"/>
    <col min="5" max="5" width="23.109375" bestFit="1" customWidth="1"/>
    <col min="6" max="6" width="64.44140625" bestFit="1" customWidth="1"/>
  </cols>
  <sheetData>
    <row r="1" spans="1:6" x14ac:dyDescent="0.3">
      <c r="A1" s="25" t="str" cm="1">
        <f t="array" aca="1" ref="A1" ca="1">_xlfn.TEXTAFTER(CELL("filnavn",A1),"]")</f>
        <v>✍️ Dim1_OrdreStatus</v>
      </c>
      <c r="B1" s="25"/>
      <c r="C1" s="25"/>
      <c r="D1" s="25"/>
      <c r="E1" s="25"/>
      <c r="F1" s="25"/>
    </row>
    <row r="2" spans="1:6" x14ac:dyDescent="0.3">
      <c r="A2" s="26" t="str" cm="1">
        <f t="array" ref="A2">TEXT(COLUMNS(Dim1_OrdreStatus[]),"#.##0")&amp;" · "&amp;TEXT(ROWS(Dim1_OrdreStatus[]),"#.##0")&amp;" = "&amp;TEXT(SUMPRODUCT(COLUMNS(Dim1_OrdreStatus[]),ROWS(Dim1_OrdreStatus[])),"#.##0")
&amp;" ("&amp;IF(AND(COUNTIF(Dim1_OrdreStatus[OrdreStatusKat_ID],Dim1_OrdreStatus[OrdreStatusKat_ID])&lt;2),"✓","X")&amp;")"</f>
        <v>6 · 4 = 24 (✓)</v>
      </c>
      <c r="B2" s="26"/>
      <c r="C2" s="26"/>
      <c r="D2" s="26"/>
      <c r="E2" s="26"/>
      <c r="F2" s="26"/>
    </row>
    <row r="3" spans="1:6" x14ac:dyDescent="0.3">
      <c r="A3" s="4" t="s">
        <v>601</v>
      </c>
      <c r="B3" s="6" t="s">
        <v>686</v>
      </c>
      <c r="C3" s="6" t="s">
        <v>698</v>
      </c>
      <c r="D3" t="s">
        <v>602</v>
      </c>
      <c r="E3" t="s">
        <v>603</v>
      </c>
      <c r="F3" t="s">
        <v>604</v>
      </c>
    </row>
    <row r="4" spans="1:6" x14ac:dyDescent="0.3">
      <c r="A4" s="9" cm="1">
        <f t="array" ref="A4">ROW()-ROW(Dim1_OrdreStatus[#Headers])</f>
        <v>1</v>
      </c>
      <c r="B4" s="6" t="s">
        <v>480</v>
      </c>
      <c r="C4" s="1" t="s">
        <v>480</v>
      </c>
      <c r="D4" s="1" t="s">
        <v>481</v>
      </c>
      <c r="E4" s="1" t="s">
        <v>486</v>
      </c>
      <c r="F4" s="1" t="s">
        <v>506</v>
      </c>
    </row>
    <row r="5" spans="1:6" x14ac:dyDescent="0.3">
      <c r="A5" s="9" cm="1">
        <f t="array" ref="A5">ROW()-ROW(Dim1_OrdreStatus[#Headers])</f>
        <v>2</v>
      </c>
      <c r="B5" s="6" t="s">
        <v>482</v>
      </c>
      <c r="C5" s="1" t="s">
        <v>482</v>
      </c>
      <c r="D5" s="1" t="s">
        <v>483</v>
      </c>
      <c r="E5" s="1" t="s">
        <v>474</v>
      </c>
      <c r="F5" s="1" t="s">
        <v>507</v>
      </c>
    </row>
    <row r="6" spans="1:6" x14ac:dyDescent="0.3">
      <c r="A6" s="9" cm="1">
        <f t="array" ref="A6">ROW()-ROW(Dim1_OrdreStatus[#Headers])</f>
        <v>3</v>
      </c>
      <c r="B6" s="6" t="s">
        <v>484</v>
      </c>
      <c r="C6" s="1" t="s">
        <v>484</v>
      </c>
      <c r="D6" s="1" t="s">
        <v>485</v>
      </c>
      <c r="E6" s="1" t="s">
        <v>474</v>
      </c>
      <c r="F6" s="1" t="s">
        <v>507</v>
      </c>
    </row>
    <row r="7" spans="1:6" x14ac:dyDescent="0.3">
      <c r="A7" s="9" cm="1">
        <f t="array" ref="A7">ROW()-ROW(Dim1_OrdreStatus[#Headers])</f>
        <v>4</v>
      </c>
      <c r="B7" s="6" t="s">
        <v>560</v>
      </c>
      <c r="C7" s="1" t="s">
        <v>560</v>
      </c>
      <c r="D7" s="6" t="s">
        <v>561</v>
      </c>
      <c r="E7" s="1" t="s">
        <v>560</v>
      </c>
      <c r="F7" s="1" t="s">
        <v>562</v>
      </c>
    </row>
  </sheetData>
  <mergeCells count="2">
    <mergeCell ref="A1:F1"/>
    <mergeCell ref="A2:F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7E91-750A-4A4E-81A2-7EACC948A405}">
  <sheetPr codeName="Ark3">
    <tabColor theme="7" tint="0.79998168889431442"/>
  </sheetPr>
  <dimension ref="A1:O30"/>
  <sheetViews>
    <sheetView showGridLines="0" workbookViewId="0">
      <pane ySplit="3" topLeftCell="A4" activePane="bottomLeft" state="frozen"/>
      <selection pane="bottomLeft" activeCell="B3" sqref="B3"/>
    </sheetView>
  </sheetViews>
  <sheetFormatPr defaultRowHeight="14.4" x14ac:dyDescent="0.3"/>
  <cols>
    <col min="1" max="1" width="10.44140625" bestFit="1" customWidth="1"/>
    <col min="2" max="2" width="58.33203125" bestFit="1" customWidth="1"/>
    <col min="3" max="3" width="16.6640625" bestFit="1" customWidth="1"/>
    <col min="4" max="4" width="19.21875" bestFit="1" customWidth="1"/>
    <col min="5" max="5" width="18.44140625" bestFit="1" customWidth="1"/>
    <col min="6" max="6" width="14.33203125" bestFit="1" customWidth="1"/>
    <col min="7" max="7" width="14.88671875" bestFit="1" customWidth="1"/>
    <col min="8" max="8" width="14.109375" bestFit="1" customWidth="1"/>
    <col min="9" max="9" width="17" bestFit="1" customWidth="1"/>
    <col min="10" max="10" width="43.6640625" bestFit="1" customWidth="1"/>
    <col min="11" max="11" width="30.77734375" bestFit="1" customWidth="1"/>
    <col min="12" max="12" width="11.44140625" bestFit="1" customWidth="1"/>
    <col min="13" max="13" width="14.109375" bestFit="1" customWidth="1"/>
    <col min="14" max="14" width="17.6640625" bestFit="1" customWidth="1"/>
    <col min="15" max="15" width="16.109375" bestFit="1" customWidth="1"/>
  </cols>
  <sheetData>
    <row r="1" spans="1:15" x14ac:dyDescent="0.3">
      <c r="A1" s="25" t="str" cm="1">
        <f t="array" aca="1" ref="A1" ca="1">_xlfn.TEXTAFTER(CELL("filnavn",A1),"]")</f>
        <v>🎫 Dim1_Billet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3">
      <c r="A2" s="26" t="str" cm="1">
        <f t="array" ref="A2">TEXT(COLUMNS(Dim1_Billet[]),"#.##0")&amp;" · "&amp;TEXT(ROWS(Dim1_Billet[]),"#.##0")&amp;" = "&amp;TEXT(SUMPRODUCT(COLUMNS(Dim1_Billet[]),ROWS(Dim1_Billet[])),"#.##0")
&amp;" ("&amp;IF(AND(COUNTIF(Dim1_Billet[Billet_ID],Dim1_Billet[Billet_ID])&lt;2),"✓","X")&amp;")"</f>
        <v>15 · 27 = 405 (✓)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x14ac:dyDescent="0.3">
      <c r="A3" s="4" t="s">
        <v>605</v>
      </c>
      <c r="B3" t="s">
        <v>685</v>
      </c>
      <c r="C3" s="6" t="s">
        <v>689</v>
      </c>
      <c r="D3" s="23" t="s">
        <v>606</v>
      </c>
      <c r="E3" s="23" t="s">
        <v>607</v>
      </c>
      <c r="F3" s="6" t="s">
        <v>690</v>
      </c>
      <c r="G3" s="6" t="s">
        <v>691</v>
      </c>
      <c r="H3" s="6" t="s">
        <v>692</v>
      </c>
      <c r="I3" s="6" t="s">
        <v>693</v>
      </c>
      <c r="J3" t="s">
        <v>608</v>
      </c>
      <c r="K3" s="6" t="s">
        <v>609</v>
      </c>
      <c r="L3" s="11" t="s">
        <v>610</v>
      </c>
      <c r="M3" s="11" t="s">
        <v>611</v>
      </c>
      <c r="N3" s="2" t="s">
        <v>612</v>
      </c>
      <c r="O3" s="3" t="s">
        <v>613</v>
      </c>
    </row>
    <row r="4" spans="1:15" x14ac:dyDescent="0.3">
      <c r="A4" s="9" cm="1">
        <f t="array" ref="A4">ROW(Dim1_Billet[#Headers])+ROWS(Dim1_Billet[])-ROW()+1</f>
        <v>27</v>
      </c>
      <c r="B4" s="20" t="str" cm="1">
        <f t="array" ref="B4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2025 - Ping Pong - Single - Sandpapir - Åben</v>
      </c>
      <c r="C4" s="1" t="s">
        <v>593</v>
      </c>
      <c r="D4" s="10">
        <v>45892.541666666664</v>
      </c>
      <c r="E4" s="10">
        <v>45892.729166666664</v>
      </c>
      <c r="F4" s="1" t="s">
        <v>464</v>
      </c>
      <c r="G4" s="1" t="s">
        <v>441</v>
      </c>
      <c r="H4" s="1" t="s">
        <v>442</v>
      </c>
      <c r="I4" s="1" t="s">
        <v>445</v>
      </c>
      <c r="J4" s="1"/>
      <c r="K4" s="1"/>
      <c r="L4" s="11">
        <v>225</v>
      </c>
      <c r="M4" s="11">
        <v>0</v>
      </c>
      <c r="N4" s="2">
        <v>60</v>
      </c>
      <c r="O4" s="2">
        <v>6</v>
      </c>
    </row>
    <row r="5" spans="1:15" x14ac:dyDescent="0.3">
      <c r="A5" s="9" cm="1">
        <f t="array" ref="A5">ROW(Dim1_Billet[#Headers])+ROWS(Dim1_Billet[])-ROW()+1</f>
        <v>26</v>
      </c>
      <c r="B5" s="20" t="str" cm="1">
        <f t="array" ref="B5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2025 - Ping Pong - Single - Træbat - Åben</v>
      </c>
      <c r="C5" s="1" t="s">
        <v>593</v>
      </c>
      <c r="D5" s="10">
        <v>45892.416666666664</v>
      </c>
      <c r="E5" s="10">
        <v>45892.5</v>
      </c>
      <c r="F5" s="1" t="s">
        <v>464</v>
      </c>
      <c r="G5" s="1" t="s">
        <v>443</v>
      </c>
      <c r="H5" s="1" t="s">
        <v>442</v>
      </c>
      <c r="I5" s="1" t="s">
        <v>445</v>
      </c>
      <c r="J5" s="1"/>
      <c r="K5" s="1"/>
      <c r="L5" s="11">
        <v>225</v>
      </c>
      <c r="M5" s="11">
        <v>0</v>
      </c>
      <c r="N5" s="2">
        <v>60</v>
      </c>
      <c r="O5" s="2">
        <v>6</v>
      </c>
    </row>
    <row r="6" spans="1:15" x14ac:dyDescent="0.3">
      <c r="A6" s="9" cm="1">
        <f t="array" ref="A6">ROW(Dim1_Billet[#Headers])+ROWS(Dim1_Billet[])-ROW()+1</f>
        <v>25</v>
      </c>
      <c r="B6" s="20" t="str" cm="1">
        <f t="array" ref="B6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2024 - Ping Pong - Single - Sandpapir - Åben</v>
      </c>
      <c r="C6" s="1" t="s">
        <v>515</v>
      </c>
      <c r="D6" s="10">
        <v>45465.4375</v>
      </c>
      <c r="E6" s="10">
        <v>45465.760416666664</v>
      </c>
      <c r="F6" s="1" t="s">
        <v>464</v>
      </c>
      <c r="G6" s="1" t="s">
        <v>441</v>
      </c>
      <c r="H6" s="1" t="s">
        <v>442</v>
      </c>
      <c r="I6" s="1" t="s">
        <v>445</v>
      </c>
      <c r="J6" s="1" t="s">
        <v>567</v>
      </c>
      <c r="K6" s="1"/>
      <c r="L6" s="11">
        <v>200</v>
      </c>
      <c r="M6" s="11">
        <v>200</v>
      </c>
      <c r="N6" s="2">
        <v>64</v>
      </c>
      <c r="O6" s="2">
        <v>4</v>
      </c>
    </row>
    <row r="7" spans="1:15" x14ac:dyDescent="0.3">
      <c r="A7" s="9" cm="1">
        <f t="array" ref="A7">ROW(Dim1_Billet[#Headers])+ROWS(Dim1_Billet[])-ROW()+1</f>
        <v>24</v>
      </c>
      <c r="B7" s="20" t="str" cm="1">
        <f t="array" ref="B7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2024 - Ping Pong - Single - Sandpapir - Ungdom</v>
      </c>
      <c r="C7" s="1" t="s">
        <v>515</v>
      </c>
      <c r="D7" s="10">
        <v>45465.4375</v>
      </c>
      <c r="E7" s="10">
        <v>45465.760416666664</v>
      </c>
      <c r="F7" s="1" t="s">
        <v>464</v>
      </c>
      <c r="G7" s="1" t="s">
        <v>441</v>
      </c>
      <c r="H7" s="1" t="s">
        <v>444</v>
      </c>
      <c r="I7" s="1" t="s">
        <v>445</v>
      </c>
      <c r="J7" s="1" t="s">
        <v>569</v>
      </c>
      <c r="K7" s="1"/>
      <c r="L7" s="11">
        <v>150</v>
      </c>
      <c r="M7" s="11">
        <v>150</v>
      </c>
      <c r="N7" s="2">
        <v>32</v>
      </c>
      <c r="O7" s="2">
        <v>4</v>
      </c>
    </row>
    <row r="8" spans="1:15" x14ac:dyDescent="0.3">
      <c r="A8" s="9" cm="1">
        <f t="array" ref="A8">ROW(Dim1_Billet[#Headers])+ROWS(Dim1_Billet[])-ROW()+1</f>
        <v>23</v>
      </c>
      <c r="B8" s="20" t="str" cm="1">
        <f t="array" ref="B8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2024 - Ping Pong - Single - Træbat - Åben</v>
      </c>
      <c r="C8" s="1" t="s">
        <v>515</v>
      </c>
      <c r="D8" s="10">
        <v>45464.666666666664</v>
      </c>
      <c r="E8" s="10">
        <v>45464.875</v>
      </c>
      <c r="F8" s="1" t="s">
        <v>464</v>
      </c>
      <c r="G8" s="1" t="s">
        <v>443</v>
      </c>
      <c r="H8" s="1" t="s">
        <v>442</v>
      </c>
      <c r="I8" s="1" t="s">
        <v>445</v>
      </c>
      <c r="J8" s="1" t="s">
        <v>568</v>
      </c>
      <c r="K8" s="1"/>
      <c r="L8" s="11">
        <v>200</v>
      </c>
      <c r="M8" s="11">
        <v>200</v>
      </c>
      <c r="N8" s="2">
        <v>64</v>
      </c>
      <c r="O8" s="2">
        <v>4</v>
      </c>
    </row>
    <row r="9" spans="1:15" x14ac:dyDescent="0.3">
      <c r="A9" s="9" cm="1">
        <f t="array" ref="A9">ROW(Dim1_Billet[#Headers])+ROWS(Dim1_Billet[])-ROW()+1</f>
        <v>22</v>
      </c>
      <c r="B9" s="20" t="str" cm="1">
        <f t="array" ref="B9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2024 - Ping Pong - Single - Træbat - Ungdom</v>
      </c>
      <c r="C9" s="1" t="s">
        <v>515</v>
      </c>
      <c r="D9" s="10">
        <v>45464.666666666664</v>
      </c>
      <c r="E9" s="10">
        <v>45464.875</v>
      </c>
      <c r="F9" s="1" t="s">
        <v>464</v>
      </c>
      <c r="G9" s="1" t="s">
        <v>443</v>
      </c>
      <c r="H9" s="1" t="s">
        <v>444</v>
      </c>
      <c r="I9" s="1" t="s">
        <v>445</v>
      </c>
      <c r="J9" s="1" t="s">
        <v>570</v>
      </c>
      <c r="K9" s="1"/>
      <c r="L9" s="11">
        <v>150</v>
      </c>
      <c r="M9" s="11">
        <v>150</v>
      </c>
      <c r="N9" s="2">
        <v>32</v>
      </c>
      <c r="O9" s="2">
        <v>4</v>
      </c>
    </row>
    <row r="10" spans="1:15" x14ac:dyDescent="0.3">
      <c r="A10" s="9" cm="1">
        <f t="array" ref="A10">ROW(Dim1_Billet[#Headers])+ROWS(Dim1_Billet[])-ROW()+1</f>
        <v>21</v>
      </c>
      <c r="B10" s="20" t="str" cm="1">
        <f t="array" ref="B10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2023 - Ping Pong - Single - Sandpapir - Åben</v>
      </c>
      <c r="C10" s="1" t="s">
        <v>516</v>
      </c>
      <c r="D10" s="10">
        <v>45094.4375</v>
      </c>
      <c r="E10" s="10">
        <v>45094.760416666664</v>
      </c>
      <c r="F10" s="1" t="s">
        <v>464</v>
      </c>
      <c r="G10" s="1" t="s">
        <v>441</v>
      </c>
      <c r="H10" s="1" t="s">
        <v>442</v>
      </c>
      <c r="I10" s="1" t="s">
        <v>445</v>
      </c>
      <c r="J10" s="1" t="s">
        <v>364</v>
      </c>
      <c r="K10" s="1"/>
      <c r="L10" s="11">
        <v>150</v>
      </c>
      <c r="M10" s="11">
        <v>150</v>
      </c>
      <c r="N10" s="2">
        <v>96</v>
      </c>
      <c r="O10" s="2">
        <v>6</v>
      </c>
    </row>
    <row r="11" spans="1:15" x14ac:dyDescent="0.3">
      <c r="A11" s="9" cm="1">
        <f t="array" ref="A11">ROW(Dim1_Billet[#Headers])+ROWS(Dim1_Billet[])-ROW()+1</f>
        <v>20</v>
      </c>
      <c r="B11" s="20" t="str" cm="1">
        <f t="array" ref="B11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2023 - Fest om aftenen</v>
      </c>
      <c r="C11" s="1" t="s">
        <v>516</v>
      </c>
      <c r="D11" s="10">
        <v>45094.791666666664</v>
      </c>
      <c r="E11" s="10">
        <v>45094.999988425923</v>
      </c>
      <c r="F11" s="1" t="s">
        <v>465</v>
      </c>
      <c r="G11" s="1"/>
      <c r="H11" s="1"/>
      <c r="I11" s="1"/>
      <c r="J11" s="1" t="s">
        <v>365</v>
      </c>
      <c r="K11" s="1"/>
      <c r="L11" s="11">
        <v>200</v>
      </c>
      <c r="M11" s="11">
        <v>200</v>
      </c>
      <c r="N11" s="2">
        <v>150</v>
      </c>
      <c r="O11" s="2">
        <v>6</v>
      </c>
    </row>
    <row r="12" spans="1:15" x14ac:dyDescent="0.3">
      <c r="A12" s="9" cm="1">
        <f t="array" ref="A12">ROW(Dim1_Billet[#Headers])+ROWS(Dim1_Billet[])-ROW()+1</f>
        <v>19</v>
      </c>
      <c r="B12" s="20" t="str" cm="1">
        <f t="array" ref="B12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2022 - Ping Pong - Single - Sandpapir - Åben</v>
      </c>
      <c r="C12" s="1" t="s">
        <v>517</v>
      </c>
      <c r="D12" s="10">
        <v>44730.4375</v>
      </c>
      <c r="E12" s="10">
        <v>44730.75</v>
      </c>
      <c r="F12" s="1" t="s">
        <v>464</v>
      </c>
      <c r="G12" s="1" t="s">
        <v>441</v>
      </c>
      <c r="H12" s="1" t="s">
        <v>442</v>
      </c>
      <c r="I12" s="1" t="s">
        <v>445</v>
      </c>
      <c r="J12" s="1"/>
      <c r="K12" s="1"/>
      <c r="L12" s="11">
        <v>125</v>
      </c>
      <c r="M12" s="11">
        <v>100</v>
      </c>
      <c r="N12" s="2">
        <v>72</v>
      </c>
      <c r="O12" s="2">
        <v>6</v>
      </c>
    </row>
    <row r="13" spans="1:15" x14ac:dyDescent="0.3">
      <c r="A13" s="9" cm="1">
        <f t="array" ref="A13">ROW(Dim1_Billet[#Headers])+ROWS(Dim1_Billet[])-ROW()+1</f>
        <v>18</v>
      </c>
      <c r="B13" s="20" t="str" cm="1">
        <f t="array" ref="B13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2022 - Fest om aftenen</v>
      </c>
      <c r="C13" s="1" t="s">
        <v>517</v>
      </c>
      <c r="D13" s="10">
        <v>44730.791666666664</v>
      </c>
      <c r="E13" s="10">
        <v>44730.999988425923</v>
      </c>
      <c r="F13" s="1" t="s">
        <v>465</v>
      </c>
      <c r="G13" s="1"/>
      <c r="H13" s="1"/>
      <c r="I13" s="1"/>
      <c r="J13" s="1"/>
      <c r="K13" s="1"/>
      <c r="L13" s="11">
        <v>150</v>
      </c>
      <c r="M13" s="11">
        <v>150</v>
      </c>
      <c r="N13" s="2">
        <v>120</v>
      </c>
      <c r="O13" s="2">
        <v>6</v>
      </c>
    </row>
    <row r="14" spans="1:15" x14ac:dyDescent="0.3">
      <c r="A14" s="9" cm="1">
        <f t="array" ref="A14">ROW(Dim1_Billet[#Headers])+ROWS(Dim1_Billet[])-ROW()+1</f>
        <v>17</v>
      </c>
      <c r="B14" s="20" t="str" cm="1">
        <f t="array" ref="B14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2021 - Fest om aftenen - The Old Irish Pub</v>
      </c>
      <c r="C14" s="1" t="s">
        <v>518</v>
      </c>
      <c r="D14" s="10">
        <v>44541.854166666664</v>
      </c>
      <c r="E14" s="10">
        <v>44541.999988425923</v>
      </c>
      <c r="F14" s="1" t="s">
        <v>465</v>
      </c>
      <c r="G14" s="1"/>
      <c r="H14" s="1"/>
      <c r="I14" s="1"/>
      <c r="J14" s="1"/>
      <c r="K14" s="1" t="s">
        <v>455</v>
      </c>
      <c r="L14" s="11">
        <v>100</v>
      </c>
      <c r="M14" s="11">
        <v>100</v>
      </c>
      <c r="N14" s="2">
        <v>15</v>
      </c>
      <c r="O14" s="2">
        <v>4</v>
      </c>
    </row>
    <row r="15" spans="1:15" x14ac:dyDescent="0.3">
      <c r="A15" s="9" cm="1">
        <f t="array" ref="A15">ROW(Dim1_Billet[#Headers])+ROWS(Dim1_Billet[])-ROW()+1</f>
        <v>16</v>
      </c>
      <c r="B15" s="20" t="str" cm="1">
        <f t="array" ref="B15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2021 - Fest om aftenen - Restaurant Flammen</v>
      </c>
      <c r="C15" s="1" t="s">
        <v>518</v>
      </c>
      <c r="D15" s="10">
        <v>44541.791666666664</v>
      </c>
      <c r="E15" s="10">
        <v>44541.854166666664</v>
      </c>
      <c r="F15" s="1" t="s">
        <v>465</v>
      </c>
      <c r="G15" s="1"/>
      <c r="H15" s="1"/>
      <c r="I15" s="1"/>
      <c r="J15" s="1"/>
      <c r="K15" s="1" t="s">
        <v>454</v>
      </c>
      <c r="L15" s="11">
        <v>229</v>
      </c>
      <c r="M15" s="11">
        <v>229</v>
      </c>
      <c r="N15" s="2">
        <v>15</v>
      </c>
      <c r="O15" s="2">
        <v>4</v>
      </c>
    </row>
    <row r="16" spans="1:15" x14ac:dyDescent="0.3">
      <c r="A16" s="9" cm="1">
        <f t="array" ref="A16">ROW(Dim1_Billet[#Headers])+ROWS(Dim1_Billet[])-ROW()+1</f>
        <v>15</v>
      </c>
      <c r="B16" s="20" t="str" cm="1">
        <f t="array" ref="B16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2021 - Frokost - Kylling &amp; bacon sandwich</v>
      </c>
      <c r="C16" s="1" t="s">
        <v>518</v>
      </c>
      <c r="D16" s="10">
        <v>44541.541666666664</v>
      </c>
      <c r="E16" s="10">
        <v>44541.583333333336</v>
      </c>
      <c r="F16" s="1" t="s">
        <v>467</v>
      </c>
      <c r="G16" s="1"/>
      <c r="H16" s="1"/>
      <c r="I16" s="1"/>
      <c r="J16" s="1"/>
      <c r="K16" s="1" t="s">
        <v>447</v>
      </c>
      <c r="L16" s="11">
        <v>50</v>
      </c>
      <c r="M16" s="11">
        <v>48</v>
      </c>
      <c r="N16" s="2">
        <v>64</v>
      </c>
      <c r="O16" s="2">
        <v>4</v>
      </c>
    </row>
    <row r="17" spans="1:15" x14ac:dyDescent="0.3">
      <c r="A17" s="9" cm="1">
        <f t="array" ref="A17">ROW(Dim1_Billet[#Headers])+ROWS(Dim1_Billet[])-ROW()+1</f>
        <v>14</v>
      </c>
      <c r="B17" s="20" t="str" cm="1">
        <f t="array" ref="B17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2021 - Frokost - Parmaskinke &amp; mozzarella sandwich</v>
      </c>
      <c r="C17" s="1" t="s">
        <v>518</v>
      </c>
      <c r="D17" s="10">
        <v>44541.541666666664</v>
      </c>
      <c r="E17" s="10">
        <v>44541.583333333336</v>
      </c>
      <c r="F17" s="1" t="s">
        <v>467</v>
      </c>
      <c r="G17" s="1"/>
      <c r="H17" s="1"/>
      <c r="I17" s="1"/>
      <c r="J17" s="1"/>
      <c r="K17" s="1" t="s">
        <v>448</v>
      </c>
      <c r="L17" s="11">
        <v>50</v>
      </c>
      <c r="M17" s="11">
        <v>52</v>
      </c>
      <c r="N17" s="2">
        <v>64</v>
      </c>
      <c r="O17" s="2">
        <v>4</v>
      </c>
    </row>
    <row r="18" spans="1:15" x14ac:dyDescent="0.3">
      <c r="A18" s="9" cm="1">
        <f t="array" ref="A18">ROW(Dim1_Billet[#Headers])+ROWS(Dim1_Billet[])-ROW()+1</f>
        <v>13</v>
      </c>
      <c r="B18" s="20" t="str" cm="1">
        <f t="array" ref="B18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2021 - Frokost - Oksekødsstrimler sandwich</v>
      </c>
      <c r="C18" s="1" t="s">
        <v>518</v>
      </c>
      <c r="D18" s="10">
        <v>44541.541666666664</v>
      </c>
      <c r="E18" s="10">
        <v>44541.583333333336</v>
      </c>
      <c r="F18" s="1" t="s">
        <v>467</v>
      </c>
      <c r="G18" s="1"/>
      <c r="H18" s="1"/>
      <c r="I18" s="1"/>
      <c r="J18" s="1"/>
      <c r="K18" s="1" t="s">
        <v>449</v>
      </c>
      <c r="L18" s="11">
        <v>50</v>
      </c>
      <c r="M18" s="11">
        <v>52</v>
      </c>
      <c r="N18" s="2">
        <v>64</v>
      </c>
      <c r="O18" s="2">
        <v>4</v>
      </c>
    </row>
    <row r="19" spans="1:15" x14ac:dyDescent="0.3">
      <c r="A19" s="9" cm="1">
        <f t="array" ref="A19">ROW(Dim1_Billet[#Headers])+ROWS(Dim1_Billet[])-ROW()+1</f>
        <v>12</v>
      </c>
      <c r="B19" s="20" t="str" cm="1">
        <f t="array" ref="B19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2021 - Frokost - Bresaola og parmesanost sandwich</v>
      </c>
      <c r="C19" s="1" t="s">
        <v>518</v>
      </c>
      <c r="D19" s="10">
        <v>44541.541666666664</v>
      </c>
      <c r="E19" s="10">
        <v>44541.583333333336</v>
      </c>
      <c r="F19" s="1" t="s">
        <v>467</v>
      </c>
      <c r="G19" s="1"/>
      <c r="H19" s="1"/>
      <c r="I19" s="1"/>
      <c r="J19" s="1"/>
      <c r="K19" s="1" t="s">
        <v>450</v>
      </c>
      <c r="L19" s="11">
        <v>50</v>
      </c>
      <c r="M19" s="11">
        <v>52</v>
      </c>
      <c r="N19" s="2">
        <v>64</v>
      </c>
      <c r="O19" s="2">
        <v>4</v>
      </c>
    </row>
    <row r="20" spans="1:15" x14ac:dyDescent="0.3">
      <c r="A20" s="9" cm="1">
        <f t="array" ref="A20">ROW(Dim1_Billet[#Headers])+ROWS(Dim1_Billet[])-ROW()+1</f>
        <v>11</v>
      </c>
      <c r="B20" s="20" t="str" cm="1">
        <f t="array" ref="B20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2021 - Frokost - Tunsalat</v>
      </c>
      <c r="C20" s="1" t="s">
        <v>518</v>
      </c>
      <c r="D20" s="10">
        <v>44541.541666666664</v>
      </c>
      <c r="E20" s="10">
        <v>44541.583333333336</v>
      </c>
      <c r="F20" s="1" t="s">
        <v>467</v>
      </c>
      <c r="G20" s="1"/>
      <c r="H20" s="1"/>
      <c r="I20" s="1"/>
      <c r="J20" s="1"/>
      <c r="K20" s="1" t="s">
        <v>451</v>
      </c>
      <c r="L20" s="11">
        <v>50</v>
      </c>
      <c r="M20" s="11">
        <v>49</v>
      </c>
      <c r="N20" s="2">
        <v>64</v>
      </c>
      <c r="O20" s="2">
        <v>4</v>
      </c>
    </row>
    <row r="21" spans="1:15" x14ac:dyDescent="0.3">
      <c r="A21" s="9" cm="1">
        <f t="array" ref="A21">ROW(Dim1_Billet[#Headers])+ROWS(Dim1_Billet[])-ROW()+1</f>
        <v>10</v>
      </c>
      <c r="B21" s="20" t="str" cm="1">
        <f t="array" ref="B21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2021 - Frokost - Kyllingesalat</v>
      </c>
      <c r="C21" s="1" t="s">
        <v>518</v>
      </c>
      <c r="D21" s="10">
        <v>44541.541666666664</v>
      </c>
      <c r="E21" s="10">
        <v>44541.583333333336</v>
      </c>
      <c r="F21" s="1" t="s">
        <v>467</v>
      </c>
      <c r="G21" s="1"/>
      <c r="H21" s="1"/>
      <c r="I21" s="1"/>
      <c r="J21" s="1"/>
      <c r="K21" s="1" t="s">
        <v>452</v>
      </c>
      <c r="L21" s="11">
        <v>50</v>
      </c>
      <c r="M21" s="11">
        <v>49</v>
      </c>
      <c r="N21" s="2">
        <v>64</v>
      </c>
      <c r="O21" s="2">
        <v>4</v>
      </c>
    </row>
    <row r="22" spans="1:15" x14ac:dyDescent="0.3">
      <c r="A22" s="9" cm="1">
        <f t="array" ref="A22">ROW(Dim1_Billet[#Headers])+ROWS(Dim1_Billet[])-ROW()+1</f>
        <v>9</v>
      </c>
      <c r="B22" s="20" t="str" cm="1">
        <f t="array" ref="B22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2021 - Frokost - Vegetarsalat</v>
      </c>
      <c r="C22" s="1" t="s">
        <v>518</v>
      </c>
      <c r="D22" s="10">
        <v>44541.541666666664</v>
      </c>
      <c r="E22" s="10">
        <v>44541.583333333336</v>
      </c>
      <c r="F22" s="1" t="s">
        <v>467</v>
      </c>
      <c r="G22" s="1"/>
      <c r="H22" s="1"/>
      <c r="I22" s="1"/>
      <c r="J22" s="1"/>
      <c r="K22" s="1" t="s">
        <v>453</v>
      </c>
      <c r="L22" s="11">
        <v>50</v>
      </c>
      <c r="M22" s="11">
        <v>45</v>
      </c>
      <c r="N22" s="2">
        <v>64</v>
      </c>
      <c r="O22" s="2">
        <v>4</v>
      </c>
    </row>
    <row r="23" spans="1:15" x14ac:dyDescent="0.3">
      <c r="A23" s="9" cm="1">
        <f t="array" ref="A23">ROW(Dim1_Billet[#Headers])+ROWS(Dim1_Billet[])-ROW()+1</f>
        <v>8</v>
      </c>
      <c r="B23" s="20" t="str" cm="1">
        <f t="array" ref="B23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2021 - Ping Pong - Single - Sandpapir - Åben</v>
      </c>
      <c r="C23" s="1" t="s">
        <v>518</v>
      </c>
      <c r="D23" s="10">
        <v>44541.458333333336</v>
      </c>
      <c r="E23" s="10">
        <v>44541.75</v>
      </c>
      <c r="F23" s="1" t="s">
        <v>464</v>
      </c>
      <c r="G23" s="1" t="s">
        <v>441</v>
      </c>
      <c r="H23" s="1" t="s">
        <v>442</v>
      </c>
      <c r="I23" s="1" t="s">
        <v>445</v>
      </c>
      <c r="J23" s="1"/>
      <c r="K23" s="1"/>
      <c r="L23" s="11">
        <v>125</v>
      </c>
      <c r="M23" s="11">
        <v>100</v>
      </c>
      <c r="N23" s="2">
        <v>64</v>
      </c>
      <c r="O23" s="2">
        <v>4</v>
      </c>
    </row>
    <row r="24" spans="1:15" x14ac:dyDescent="0.3">
      <c r="A24" s="9" cm="1">
        <f t="array" ref="A24">ROW(Dim1_Billet[#Headers])+ROWS(Dim1_Billet[])-ROW()+1</f>
        <v>7</v>
      </c>
      <c r="B24" s="20" t="str" cm="1">
        <f t="array" ref="B24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2020 - Ping Pong - Single - Sandpapir - Åben</v>
      </c>
      <c r="C24" s="1" t="s">
        <v>563</v>
      </c>
      <c r="D24" s="10">
        <v>43995.416666666664</v>
      </c>
      <c r="E24" s="10">
        <v>43995.75</v>
      </c>
      <c r="F24" s="1" t="s">
        <v>464</v>
      </c>
      <c r="G24" s="1" t="s">
        <v>441</v>
      </c>
      <c r="H24" s="1" t="s">
        <v>442</v>
      </c>
      <c r="I24" s="1" t="s">
        <v>445</v>
      </c>
      <c r="J24" s="1" t="s">
        <v>565</v>
      </c>
      <c r="K24" s="1"/>
      <c r="L24" s="11">
        <v>225</v>
      </c>
      <c r="M24" s="11">
        <v>200</v>
      </c>
      <c r="N24" s="2">
        <v>64</v>
      </c>
      <c r="O24" s="2">
        <v>4</v>
      </c>
    </row>
    <row r="25" spans="1:15" x14ac:dyDescent="0.3">
      <c r="A25" s="9" cm="1">
        <f t="array" ref="A25">ROW(Dim1_Billet[#Headers])+ROWS(Dim1_Billet[])-ROW()+1</f>
        <v>6</v>
      </c>
      <c r="B25" s="20" t="str" cm="1">
        <f t="array" ref="B25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2019 - Ping Pong - Single - Sandpapir - Åben</v>
      </c>
      <c r="C25" s="1" t="s">
        <v>519</v>
      </c>
      <c r="D25" s="10">
        <v>43638.416666666664</v>
      </c>
      <c r="E25" s="10">
        <v>43638.75</v>
      </c>
      <c r="F25" s="1" t="s">
        <v>464</v>
      </c>
      <c r="G25" s="1" t="s">
        <v>441</v>
      </c>
      <c r="H25" s="1" t="s">
        <v>442</v>
      </c>
      <c r="I25" s="1" t="s">
        <v>445</v>
      </c>
      <c r="J25" s="1"/>
      <c r="K25" s="1"/>
      <c r="L25" s="11">
        <v>225</v>
      </c>
      <c r="M25" s="11">
        <v>200</v>
      </c>
      <c r="N25" s="2">
        <v>64</v>
      </c>
      <c r="O25" s="2">
        <v>4</v>
      </c>
    </row>
    <row r="26" spans="1:15" x14ac:dyDescent="0.3">
      <c r="A26" s="9" cm="1">
        <f t="array" ref="A26">ROW(Dim1_Billet[#Headers])+ROWS(Dim1_Billet[])-ROW()+1</f>
        <v>5</v>
      </c>
      <c r="B26" s="20" t="str" cm="1">
        <f t="array" ref="B26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2018 - Ping Pong - Single - Sandpapir - Åben</v>
      </c>
      <c r="C26" s="1" t="s">
        <v>520</v>
      </c>
      <c r="D26" s="10">
        <v>43449.416666666664</v>
      </c>
      <c r="E26" s="10">
        <v>43449.75</v>
      </c>
      <c r="F26" s="1" t="s">
        <v>464</v>
      </c>
      <c r="G26" s="1" t="s">
        <v>441</v>
      </c>
      <c r="H26" s="1" t="s">
        <v>442</v>
      </c>
      <c r="I26" s="1" t="s">
        <v>445</v>
      </c>
      <c r="J26" s="1"/>
      <c r="K26" s="1"/>
      <c r="L26" s="11">
        <v>100</v>
      </c>
      <c r="M26" s="11">
        <v>100</v>
      </c>
      <c r="N26" s="2">
        <v>64</v>
      </c>
      <c r="O26" s="2">
        <v>4</v>
      </c>
    </row>
    <row r="27" spans="1:15" x14ac:dyDescent="0.3">
      <c r="A27" s="9" cm="1">
        <f t="array" ref="A27">ROW(Dim1_Billet[#Headers])+ROWS(Dim1_Billet[])-ROW()+1</f>
        <v>4</v>
      </c>
      <c r="B27" s="20" t="str" cm="1">
        <f t="array" ref="B27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2017 - Ping Pong - Single - Sandpapir - Åben</v>
      </c>
      <c r="C27" s="1" t="s">
        <v>521</v>
      </c>
      <c r="D27" s="10">
        <v>43085.416666666664</v>
      </c>
      <c r="E27" s="10">
        <v>43085.75</v>
      </c>
      <c r="F27" s="1" t="s">
        <v>464</v>
      </c>
      <c r="G27" s="1" t="s">
        <v>441</v>
      </c>
      <c r="H27" s="1" t="s">
        <v>442</v>
      </c>
      <c r="I27" s="1" t="s">
        <v>445</v>
      </c>
      <c r="J27" s="1"/>
      <c r="K27" s="1"/>
      <c r="L27" s="11">
        <v>100</v>
      </c>
      <c r="M27" s="11">
        <v>100</v>
      </c>
      <c r="N27" s="2">
        <v>64</v>
      </c>
      <c r="O27" s="2">
        <v>4</v>
      </c>
    </row>
    <row r="28" spans="1:15" x14ac:dyDescent="0.3">
      <c r="A28" s="9" cm="1">
        <f t="array" ref="A28">ROW(Dim1_Billet[#Headers])+ROWS(Dim1_Billet[])-ROW()+1</f>
        <v>3</v>
      </c>
      <c r="B28" s="20" t="str" cm="1">
        <f t="array" ref="B28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2016 - Ping Pong - Single - Sandpapir - Åben</v>
      </c>
      <c r="C28" s="1" t="s">
        <v>522</v>
      </c>
      <c r="D28" s="10">
        <v>42721.416666666664</v>
      </c>
      <c r="E28" s="10">
        <v>42721.75</v>
      </c>
      <c r="F28" s="1" t="s">
        <v>464</v>
      </c>
      <c r="G28" s="1" t="s">
        <v>441</v>
      </c>
      <c r="H28" s="1" t="s">
        <v>442</v>
      </c>
      <c r="I28" s="1" t="s">
        <v>445</v>
      </c>
      <c r="J28" s="1"/>
      <c r="K28" s="1"/>
      <c r="L28" s="11">
        <v>100</v>
      </c>
      <c r="M28" s="11">
        <v>100</v>
      </c>
      <c r="N28" s="2">
        <v>64</v>
      </c>
      <c r="O28" s="2">
        <v>4</v>
      </c>
    </row>
    <row r="29" spans="1:15" x14ac:dyDescent="0.3">
      <c r="A29" s="9" cm="1">
        <f t="array" ref="A29">ROW(Dim1_Billet[#Headers])+ROWS(Dim1_Billet[])-ROW()+1</f>
        <v>2</v>
      </c>
      <c r="B29" s="20" t="str" cm="1">
        <f t="array" ref="B29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2015 - Ping Pong - Single - Sandpapir - Åben</v>
      </c>
      <c r="C29" s="1" t="s">
        <v>523</v>
      </c>
      <c r="D29" s="10">
        <v>42357.416666666664</v>
      </c>
      <c r="E29" s="10">
        <v>42357.75</v>
      </c>
      <c r="F29" s="1" t="s">
        <v>464</v>
      </c>
      <c r="G29" s="1" t="s">
        <v>441</v>
      </c>
      <c r="H29" s="1" t="s">
        <v>442</v>
      </c>
      <c r="I29" s="1" t="s">
        <v>445</v>
      </c>
      <c r="J29" s="1"/>
      <c r="K29" s="1"/>
      <c r="L29" s="11">
        <v>100</v>
      </c>
      <c r="M29" s="11">
        <v>100</v>
      </c>
      <c r="N29" s="2">
        <v>64</v>
      </c>
      <c r="O29" s="2">
        <v>4</v>
      </c>
    </row>
    <row r="30" spans="1:15" x14ac:dyDescent="0.3">
      <c r="A30" s="9" cm="1">
        <f t="array" ref="A30">ROW(Dim1_Billet[#Headers])+ROWS(Dim1_Billet[])-ROW()+1</f>
        <v>1</v>
      </c>
      <c r="B30" s="20" t="str" cm="1">
        <f t="array" ref="B30">_xlfn.IFS(
AND(ISBLANK(Dim1_Billet[[#This Row],[BilletSpilFormat_ID]]),ISBLANK(Dim1_Billet[[#This Row],[BilletDisciplin_ID]]),ISBLANK(Dim1_Billet[[#This Row],[BilletRaekke_ID]]),NOT(ISBLANK(Dim1_Billet[[#This Row],[BilletTilvalg_RD]]))),
Dim1_Billet[[#This Row],[EventAar_ID]]&amp;" - "&amp;Dim1_Billet[[#This Row],[BilletKat_ID]]&amp;" - "&amp;Dim1_Billet[[#This Row],[BilletTilvalg_RD]],
AND(ISBLANK(Dim1_Billet[[#This Row],[BilletSpilFormat_ID]]),ISBLANK(Dim1_Billet[[#This Row],[BilletDisciplin_ID]]),ISBLANK(Dim1_Billet[[#This Row],[BilletRaekke_ID]]),ISBLANK(Dim1_Billet[[#This Row],[BilletTilvalg_RD]])),
Dim1_Billet[[#This Row],[EventAar_ID]]&amp;" - "&amp;Dim1_Billet[[#This Row],[BilletKat_ID]],
NOT(AND((ISBLANK(Dim1_Billet[[#This Row],[EventAar_ID]])))),
Dim1_Billet[[#This Row],[EventAar_ID]]&amp;" - "&amp;Dim1_Billet[[#This Row],[BilletKat_ID]]&amp;" - "&amp;Dim1_Billet[[#This Row],[BilletSpilFormat_ID]]&amp;" - "&amp;Dim1_Billet[[#This Row],[BilletDisciplin_ID]]&amp;" - "&amp;Dim1_Billet[[#This Row],[BilletRaekke_ID]])</f>
        <v>Ping Pong DM 2014 - Ping Pong - Single - Sandpapir - Åben</v>
      </c>
      <c r="C30" s="1" t="s">
        <v>524</v>
      </c>
      <c r="D30" s="10">
        <v>41993.416666666664</v>
      </c>
      <c r="E30" s="10">
        <v>41993.75</v>
      </c>
      <c r="F30" s="1" t="s">
        <v>464</v>
      </c>
      <c r="G30" s="1" t="s">
        <v>441</v>
      </c>
      <c r="H30" s="1" t="s">
        <v>442</v>
      </c>
      <c r="I30" s="1" t="s">
        <v>445</v>
      </c>
      <c r="J30" s="1"/>
      <c r="K30" s="1"/>
      <c r="L30" s="11">
        <v>100</v>
      </c>
      <c r="M30" s="11">
        <v>100</v>
      </c>
      <c r="N30" s="2">
        <v>64</v>
      </c>
      <c r="O30" s="2">
        <v>4</v>
      </c>
    </row>
  </sheetData>
  <mergeCells count="2">
    <mergeCell ref="A1:O1"/>
    <mergeCell ref="A2:O2"/>
  </mergeCells>
  <dataValidations count="10">
    <dataValidation type="list" allowBlank="1" showInputMessage="1" showErrorMessage="1" sqref="G4:G30" xr:uid="{A0BCBAFF-14DB-4A9A-ABC8-8C96B48D3CFE}">
      <formula1>tbl_Disciplin_d2</formula1>
    </dataValidation>
    <dataValidation type="list" allowBlank="1" showInputMessage="1" showErrorMessage="1" sqref="H6:H30" xr:uid="{4BA67354-DDBB-487C-A561-23C2AFA2F296}">
      <formula1>tbl_Række_d2</formula1>
    </dataValidation>
    <dataValidation type="list" allowBlank="1" showInputMessage="1" showErrorMessage="1" sqref="I4:I30" xr:uid="{1BCD1958-0B82-4300-B936-608C6AC94382}">
      <formula1>tbl_Spilformat_d2</formula1>
    </dataValidation>
    <dataValidation type="list" allowBlank="1" showInputMessage="1" showErrorMessage="1" sqref="C4:C30" xr:uid="{290F5728-1645-4B8C-89F7-EA85762D24C7}">
      <formula1>tbl_Event_år_d2</formula1>
    </dataValidation>
    <dataValidation operator="greaterThan" allowBlank="1" showInputMessage="1" showErrorMessage="1" sqref="B4:B30" xr:uid="{D4E293F3-5925-423A-B7E6-C7A870A088CC}"/>
    <dataValidation type="decimal" operator="greaterThan" allowBlank="1" showInputMessage="1" showErrorMessage="1" sqref="N4:N30" xr:uid="{9DD8EDCF-078E-43AF-BD35-F30C55EDB260}">
      <formula1>0</formula1>
    </dataValidation>
    <dataValidation type="list" allowBlank="1" showInputMessage="1" showErrorMessage="1" sqref="D4:E25" xr:uid="{5E62C165-01F6-4AEF-84D2-76EA0245FADC}">
      <formula1>tbl_Event_Event_d3</formula1>
    </dataValidation>
    <dataValidation type="whole" operator="greaterThanOrEqual" allowBlank="1" showInputMessage="1" showErrorMessage="1" sqref="L4:M30" xr:uid="{C02E790C-FCF6-4E20-873C-7EA8BE773038}">
      <formula1>0</formula1>
    </dataValidation>
    <dataValidation type="date" operator="greaterThanOrEqual" allowBlank="1" showInputMessage="1" showErrorMessage="1" sqref="D4:E25" xr:uid="{995515D0-D0FA-4310-9DEF-89E55AC8612E}">
      <formula1>1</formula1>
    </dataValidation>
    <dataValidation type="list" allowBlank="1" showInputMessage="1" showErrorMessage="1" sqref="F4:F30" xr:uid="{A1D8B85C-6DEA-492A-B5EC-7FAE04FF5AD8}">
      <formula1>tbl_Billettype_d2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B326-8313-4165-ABA2-D50BC35CC3E6}">
  <sheetPr>
    <tabColor theme="7" tint="0.79998168889431442"/>
  </sheetPr>
  <dimension ref="A1:Q15"/>
  <sheetViews>
    <sheetView showGridLines="0" workbookViewId="0">
      <pane ySplit="3" topLeftCell="A4" activePane="bottomLeft" state="frozen"/>
      <selection pane="bottomLeft" sqref="A1:Q1"/>
    </sheetView>
  </sheetViews>
  <sheetFormatPr defaultRowHeight="14.4" x14ac:dyDescent="0.3"/>
  <cols>
    <col min="1" max="1" width="14.109375" bestFit="1" customWidth="1"/>
    <col min="2" max="2" width="17.5546875" bestFit="1" customWidth="1"/>
    <col min="3" max="3" width="16.6640625" bestFit="1" customWidth="1"/>
    <col min="4" max="4" width="12.109375" bestFit="1" customWidth="1"/>
    <col min="5" max="5" width="22.33203125" bestFit="1" customWidth="1"/>
    <col min="6" max="6" width="26" bestFit="1" customWidth="1"/>
    <col min="7" max="7" width="21.6640625" bestFit="1" customWidth="1"/>
    <col min="8" max="8" width="24.33203125" bestFit="1" customWidth="1"/>
    <col min="9" max="9" width="19.33203125" bestFit="1" customWidth="1"/>
    <col min="10" max="10" width="15.109375" bestFit="1" customWidth="1"/>
    <col min="11" max="11" width="17.6640625" bestFit="1" customWidth="1"/>
    <col min="12" max="12" width="14.21875" bestFit="1" customWidth="1"/>
    <col min="13" max="14" width="17.77734375" bestFit="1" customWidth="1"/>
    <col min="15" max="15" width="27.6640625" bestFit="1" customWidth="1"/>
    <col min="16" max="16" width="33.109375" bestFit="1" customWidth="1"/>
    <col min="17" max="17" width="40.21875" bestFit="1" customWidth="1"/>
  </cols>
  <sheetData>
    <row r="1" spans="1:17" x14ac:dyDescent="0.3">
      <c r="A1" s="25" t="str" cm="1">
        <f t="array" aca="1" ref="A1" ca="1">_xlfn.TEXTAFTER(CELL("filnavn",A1),"]")</f>
        <v>🎫 Dim2_EventAar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x14ac:dyDescent="0.3">
      <c r="A2" s="26" t="str" cm="1">
        <f t="array" ref="A2">TEXT(COLUMNS(Dim2_Event[]),"#.##0")&amp;" · "&amp;TEXT(ROWS(Dim2_Event[]),"#.##0")&amp;" = "&amp;TEXT(SUMPRODUCT(COLUMNS(Dim2_Event[]),ROWS(Dim2_Event[])),"#.##0")
&amp;" ("&amp;IF(AND(COUNTIF(Dim2_Event[EventAar_ID],Dim2_Event[EventAar_ID])&lt;2),"✓","X")&amp;")"</f>
        <v>17 · 12 = 204 (✓)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x14ac:dyDescent="0.3">
      <c r="A3" t="s">
        <v>614</v>
      </c>
      <c r="B3" t="s">
        <v>689</v>
      </c>
      <c r="C3" t="s">
        <v>699</v>
      </c>
      <c r="D3" t="s">
        <v>694</v>
      </c>
      <c r="E3" s="3" t="s">
        <v>615</v>
      </c>
      <c r="F3" s="3" t="s">
        <v>616</v>
      </c>
      <c r="G3" s="3" t="s">
        <v>617</v>
      </c>
      <c r="H3" s="3" t="s">
        <v>618</v>
      </c>
      <c r="I3" t="s">
        <v>619</v>
      </c>
      <c r="J3" t="s">
        <v>620</v>
      </c>
      <c r="K3" s="3" t="s">
        <v>621</v>
      </c>
      <c r="L3" t="s">
        <v>622</v>
      </c>
      <c r="M3" t="s">
        <v>623</v>
      </c>
      <c r="N3" t="s">
        <v>624</v>
      </c>
      <c r="O3" t="s">
        <v>625</v>
      </c>
      <c r="P3" t="s">
        <v>626</v>
      </c>
      <c r="Q3" t="s">
        <v>627</v>
      </c>
    </row>
    <row r="4" spans="1:17" x14ac:dyDescent="0.3">
      <c r="A4" s="9" cm="1">
        <f t="array" ref="A4">ROW(Dim2_Event[#Headers])+ROWS(Dim2_Event[])-ROW()+1</f>
        <v>12</v>
      </c>
      <c r="B4" s="20" t="str">
        <f>IF(OR(ISBLANK(Dim2_Event[[#This Row],[Event_ID]]),ISBLANK(Dim2_Event[[#This Row],[EventAarFristDatoTid_RD]])),"",Dim2_Event[[#This Row],[Event_ID]]&amp;" "&amp;YEAR(Dim2_Event[[#This Row],[EventAarFristDatoTid_RD]]))</f>
        <v>Ping Pong DM 2025</v>
      </c>
      <c r="C4" s="1" t="s">
        <v>593</v>
      </c>
      <c r="D4" s="1" t="s">
        <v>514</v>
      </c>
      <c r="E4" s="10">
        <v>45886.999988425923</v>
      </c>
      <c r="F4" s="10">
        <v>45853.999988425923</v>
      </c>
      <c r="G4" s="21">
        <v>45884</v>
      </c>
      <c r="H4" s="4">
        <v>1</v>
      </c>
      <c r="I4" s="1" t="s">
        <v>5</v>
      </c>
      <c r="J4" s="1" t="s">
        <v>270</v>
      </c>
      <c r="K4" s="4">
        <v>8000</v>
      </c>
      <c r="L4" s="1" t="s">
        <v>271</v>
      </c>
      <c r="M4" s="1" t="s">
        <v>343</v>
      </c>
      <c r="N4" s="1" t="s">
        <v>329</v>
      </c>
      <c r="O4" s="22" t="s">
        <v>323</v>
      </c>
      <c r="P4" s="1"/>
      <c r="Q4" s="1"/>
    </row>
    <row r="5" spans="1:17" x14ac:dyDescent="0.3">
      <c r="A5" s="9" cm="1">
        <f t="array" ref="A5">ROW(Dim2_Event[#Headers])+ROWS(Dim2_Event[])-ROW()+1</f>
        <v>11</v>
      </c>
      <c r="B5" s="20" t="str">
        <f>IF(OR(ISBLANK(Dim2_Event[[#This Row],[Event_ID]]),ISBLANK(Dim2_Event[[#This Row],[EventAarFristDatoTid_RD]])),"",Dim2_Event[[#This Row],[Event_ID]]&amp;" "&amp;YEAR(Dim2_Event[[#This Row],[EventAarFristDatoTid_RD]]))</f>
        <v>Ping Pong DM 2024</v>
      </c>
      <c r="C5" s="1" t="s">
        <v>515</v>
      </c>
      <c r="D5" s="1" t="s">
        <v>514</v>
      </c>
      <c r="E5" s="10">
        <v>45452.999988425923</v>
      </c>
      <c r="F5" s="10">
        <v>45364.770833333336</v>
      </c>
      <c r="G5" s="21">
        <v>45450</v>
      </c>
      <c r="H5" s="5" t="s">
        <v>657</v>
      </c>
      <c r="I5" s="1" t="s">
        <v>440</v>
      </c>
      <c r="J5" s="1" t="s">
        <v>439</v>
      </c>
      <c r="K5" s="4">
        <v>7400</v>
      </c>
      <c r="L5" s="1" t="s">
        <v>176</v>
      </c>
      <c r="M5" s="1" t="s">
        <v>547</v>
      </c>
      <c r="N5" s="1" t="s">
        <v>548</v>
      </c>
      <c r="O5" s="22" t="s">
        <v>494</v>
      </c>
      <c r="P5" s="1"/>
      <c r="Q5" s="1"/>
    </row>
    <row r="6" spans="1:17" x14ac:dyDescent="0.3">
      <c r="A6" s="9" cm="1">
        <f t="array" ref="A6">ROW(Dim2_Event[#Headers])+ROWS(Dim2_Event[])-ROW()+1</f>
        <v>10</v>
      </c>
      <c r="B6" s="20" t="str">
        <f>IF(OR(ISBLANK(Dim2_Event[[#This Row],[Event_ID]]),ISBLANK(Dim2_Event[[#This Row],[EventAarFristDatoTid_RD]])),"",Dim2_Event[[#This Row],[Event_ID]]&amp;" "&amp;YEAR(Dim2_Event[[#This Row],[EventAarFristDatoTid_RD]]))</f>
        <v>Ping Pong DM 2023</v>
      </c>
      <c r="C6" s="1" t="s">
        <v>516</v>
      </c>
      <c r="D6" s="1" t="s">
        <v>514</v>
      </c>
      <c r="E6" s="10">
        <v>45086.999988425923</v>
      </c>
      <c r="F6" s="10">
        <v>45000.770833333336</v>
      </c>
      <c r="G6" s="21">
        <v>45086</v>
      </c>
      <c r="H6" s="5" t="s">
        <v>657</v>
      </c>
      <c r="I6" s="1" t="s">
        <v>272</v>
      </c>
      <c r="J6" s="1" t="s">
        <v>273</v>
      </c>
      <c r="K6" s="4">
        <v>8362</v>
      </c>
      <c r="L6" s="1" t="s">
        <v>36</v>
      </c>
      <c r="M6" s="1" t="s">
        <v>328</v>
      </c>
      <c r="N6" s="1" t="s">
        <v>329</v>
      </c>
      <c r="O6" s="22" t="s">
        <v>322</v>
      </c>
      <c r="P6" s="1" t="s">
        <v>292</v>
      </c>
      <c r="Q6" s="1" t="s">
        <v>291</v>
      </c>
    </row>
    <row r="7" spans="1:17" x14ac:dyDescent="0.3">
      <c r="A7" s="9" cm="1">
        <f t="array" ref="A7">ROW(Dim2_Event[#Headers])+ROWS(Dim2_Event[])-ROW()+1</f>
        <v>9</v>
      </c>
      <c r="B7" s="20" t="str">
        <f>IF(OR(ISBLANK(Dim2_Event[[#This Row],[Event_ID]]),ISBLANK(Dim2_Event[[#This Row],[EventAarFristDatoTid_RD]])),"",Dim2_Event[[#This Row],[Event_ID]]&amp;" "&amp;YEAR(Dim2_Event[[#This Row],[EventAarFristDatoTid_RD]]))</f>
        <v>Ping Pong DM 2022</v>
      </c>
      <c r="C7" s="1" t="s">
        <v>517</v>
      </c>
      <c r="D7" s="1" t="s">
        <v>514</v>
      </c>
      <c r="E7" s="10">
        <v>44717.999988425923</v>
      </c>
      <c r="F7" s="10">
        <v>44668.5</v>
      </c>
      <c r="G7" s="21">
        <v>44708</v>
      </c>
      <c r="H7" s="5" t="s">
        <v>658</v>
      </c>
      <c r="I7" s="1" t="s">
        <v>5</v>
      </c>
      <c r="J7" s="1" t="s">
        <v>270</v>
      </c>
      <c r="K7" s="4">
        <v>8000</v>
      </c>
      <c r="L7" s="1" t="s">
        <v>271</v>
      </c>
      <c r="M7" s="1" t="s">
        <v>343</v>
      </c>
      <c r="N7" s="1" t="s">
        <v>329</v>
      </c>
      <c r="O7" s="22" t="s">
        <v>323</v>
      </c>
      <c r="P7" s="1" t="s">
        <v>290</v>
      </c>
      <c r="Q7" s="1" t="s">
        <v>291</v>
      </c>
    </row>
    <row r="8" spans="1:17" x14ac:dyDescent="0.3">
      <c r="A8" s="9" cm="1">
        <f t="array" ref="A8">ROW(Dim2_Event[#Headers])+ROWS(Dim2_Event[])-ROW()+1</f>
        <v>8</v>
      </c>
      <c r="B8" s="20" t="str">
        <f>IF(OR(ISBLANK(Dim2_Event[[#This Row],[Event_ID]]),ISBLANK(Dim2_Event[[#This Row],[EventAarFristDatoTid_RD]])),"",Dim2_Event[[#This Row],[Event_ID]]&amp;" "&amp;YEAR(Dim2_Event[[#This Row],[EventAarFristDatoTid_RD]]))</f>
        <v>Ping Pong DM 2021</v>
      </c>
      <c r="C8" s="1" t="s">
        <v>518</v>
      </c>
      <c r="D8" s="1" t="s">
        <v>514</v>
      </c>
      <c r="E8" s="10">
        <v>44526.999988425923</v>
      </c>
      <c r="F8" s="10">
        <v>44462.670138888891</v>
      </c>
      <c r="G8" s="21">
        <v>44539</v>
      </c>
      <c r="H8" s="5" t="s">
        <v>658</v>
      </c>
      <c r="I8" s="1" t="s">
        <v>268</v>
      </c>
      <c r="J8" s="1" t="s">
        <v>269</v>
      </c>
      <c r="K8" s="4">
        <v>5000</v>
      </c>
      <c r="L8" s="1" t="s">
        <v>42</v>
      </c>
      <c r="M8" s="1" t="s">
        <v>330</v>
      </c>
      <c r="N8" s="1" t="s">
        <v>331</v>
      </c>
      <c r="O8" s="22" t="s">
        <v>324</v>
      </c>
      <c r="P8" s="1" t="s">
        <v>293</v>
      </c>
      <c r="Q8" s="1" t="s">
        <v>291</v>
      </c>
    </row>
    <row r="9" spans="1:17" x14ac:dyDescent="0.3">
      <c r="A9" s="9" cm="1">
        <f t="array" ref="A9">ROW(Dim2_Event[#Headers])+ROWS(Dim2_Event[])-ROW()+1</f>
        <v>7</v>
      </c>
      <c r="B9" s="20" t="str">
        <f>IF(OR(ISBLANK(Dim2_Event[[#This Row],[Event_ID]]),ISBLANK(Dim2_Event[[#This Row],[EventAarFristDatoTid_RD]])),"",Dim2_Event[[#This Row],[Event_ID]]&amp;" "&amp;YEAR(Dim2_Event[[#This Row],[EventAarFristDatoTid_RD]]))</f>
        <v>Ping Pong DM 2020</v>
      </c>
      <c r="C9" s="1" t="s">
        <v>563</v>
      </c>
      <c r="D9" s="1" t="s">
        <v>514</v>
      </c>
      <c r="E9" s="10">
        <v>43988.999988425923</v>
      </c>
      <c r="F9" s="10">
        <v>43927.999988425923</v>
      </c>
      <c r="G9" s="21">
        <v>43993</v>
      </c>
      <c r="H9" s="5" t="s">
        <v>658</v>
      </c>
      <c r="I9" s="1" t="s">
        <v>299</v>
      </c>
      <c r="J9" s="1" t="s">
        <v>300</v>
      </c>
      <c r="K9" s="4">
        <v>8600</v>
      </c>
      <c r="L9" s="1" t="s">
        <v>37</v>
      </c>
      <c r="M9" s="1" t="s">
        <v>330</v>
      </c>
      <c r="N9" s="1" t="s">
        <v>331</v>
      </c>
      <c r="O9" s="22" t="s">
        <v>325</v>
      </c>
      <c r="P9" s="1"/>
      <c r="Q9" s="1"/>
    </row>
    <row r="10" spans="1:17" x14ac:dyDescent="0.3">
      <c r="A10" s="9" cm="1">
        <f t="array" ref="A10">ROW(Dim2_Event[#Headers])+ROWS(Dim2_Event[])-ROW()+1</f>
        <v>6</v>
      </c>
      <c r="B10" s="20" t="str">
        <f>IF(OR(ISBLANK(Dim2_Event[[#This Row],[Event_ID]]),ISBLANK(Dim2_Event[[#This Row],[EventAarFristDatoTid_RD]])),"",Dim2_Event[[#This Row],[Event_ID]]&amp;" "&amp;YEAR(Dim2_Event[[#This Row],[EventAarFristDatoTid_RD]]))</f>
        <v>Ping Pong DM 2019</v>
      </c>
      <c r="C10" s="1" t="s">
        <v>519</v>
      </c>
      <c r="D10" s="1" t="s">
        <v>514</v>
      </c>
      <c r="E10" s="10">
        <v>43631.999988425923</v>
      </c>
      <c r="F10" s="10">
        <v>43570.5</v>
      </c>
      <c r="G10" s="21">
        <v>43636</v>
      </c>
      <c r="H10" s="5" t="s">
        <v>658</v>
      </c>
      <c r="I10" s="1" t="s">
        <v>299</v>
      </c>
      <c r="J10" s="1" t="s">
        <v>300</v>
      </c>
      <c r="K10" s="4">
        <v>8600</v>
      </c>
      <c r="L10" s="1" t="s">
        <v>37</v>
      </c>
      <c r="M10" s="1" t="s">
        <v>330</v>
      </c>
      <c r="N10" s="1" t="s">
        <v>331</v>
      </c>
      <c r="O10" s="22" t="s">
        <v>325</v>
      </c>
      <c r="P10" s="1"/>
      <c r="Q10" s="1"/>
    </row>
    <row r="11" spans="1:17" x14ac:dyDescent="0.3">
      <c r="A11" s="9" cm="1">
        <f t="array" ref="A11">ROW(Dim2_Event[#Headers])+ROWS(Dim2_Event[])-ROW()+1</f>
        <v>5</v>
      </c>
      <c r="B11" s="20" t="str">
        <f>IF(OR(ISBLANK(Dim2_Event[[#This Row],[Event_ID]]),ISBLANK(Dim2_Event[[#This Row],[EventAarFristDatoTid_RD]])),"",Dim2_Event[[#This Row],[Event_ID]]&amp;" "&amp;YEAR(Dim2_Event[[#This Row],[EventAarFristDatoTid_RD]]))</f>
        <v>Ping Pong DM 2018</v>
      </c>
      <c r="C11" s="1" t="s">
        <v>520</v>
      </c>
      <c r="D11" s="1" t="s">
        <v>514</v>
      </c>
      <c r="E11" s="10">
        <v>43436.999988425923</v>
      </c>
      <c r="F11" s="10">
        <v>43375.5</v>
      </c>
      <c r="G11" s="21">
        <v>43447</v>
      </c>
      <c r="H11" s="5" t="s">
        <v>658</v>
      </c>
      <c r="I11" s="1" t="s">
        <v>305</v>
      </c>
      <c r="J11" s="1" t="s">
        <v>307</v>
      </c>
      <c r="K11" s="4">
        <v>2100</v>
      </c>
      <c r="L11" s="1" t="s">
        <v>41</v>
      </c>
      <c r="M11" s="1" t="s">
        <v>330</v>
      </c>
      <c r="N11" s="1" t="s">
        <v>331</v>
      </c>
      <c r="O11" s="22" t="s">
        <v>326</v>
      </c>
      <c r="P11" s="1"/>
      <c r="Q11" s="1"/>
    </row>
    <row r="12" spans="1:17" x14ac:dyDescent="0.3">
      <c r="A12" s="9" cm="1">
        <f t="array" ref="A12">ROW(Dim2_Event[#Headers])+ROWS(Dim2_Event[])-ROW()+1</f>
        <v>4</v>
      </c>
      <c r="B12" s="20" t="str">
        <f>IF(OR(ISBLANK(Dim2_Event[[#This Row],[Event_ID]]),ISBLANK(Dim2_Event[[#This Row],[EventAarFristDatoTid_RD]])),"",Dim2_Event[[#This Row],[Event_ID]]&amp;" "&amp;YEAR(Dim2_Event[[#This Row],[EventAarFristDatoTid_RD]]))</f>
        <v>Ping Pong DM 2017</v>
      </c>
      <c r="C12" s="1" t="s">
        <v>521</v>
      </c>
      <c r="D12" s="1" t="s">
        <v>514</v>
      </c>
      <c r="E12" s="10">
        <v>43072.999988425923</v>
      </c>
      <c r="F12" s="10">
        <v>43011.5</v>
      </c>
      <c r="G12" s="21">
        <v>43083</v>
      </c>
      <c r="H12" s="5" t="s">
        <v>658</v>
      </c>
      <c r="I12" s="1" t="s">
        <v>305</v>
      </c>
      <c r="J12" s="1" t="s">
        <v>307</v>
      </c>
      <c r="K12" s="4">
        <v>2100</v>
      </c>
      <c r="L12" s="1" t="s">
        <v>41</v>
      </c>
      <c r="M12" s="1" t="s">
        <v>330</v>
      </c>
      <c r="N12" s="1" t="s">
        <v>331</v>
      </c>
      <c r="O12" s="22" t="s">
        <v>326</v>
      </c>
      <c r="P12" s="1"/>
      <c r="Q12" s="1"/>
    </row>
    <row r="13" spans="1:17" x14ac:dyDescent="0.3">
      <c r="A13" s="9" cm="1">
        <f t="array" ref="A13">ROW(Dim2_Event[#Headers])+ROWS(Dim2_Event[])-ROW()+1</f>
        <v>3</v>
      </c>
      <c r="B13" s="20" t="str">
        <f>IF(OR(ISBLANK(Dim2_Event[[#This Row],[Event_ID]]),ISBLANK(Dim2_Event[[#This Row],[EventAarFristDatoTid_RD]])),"",Dim2_Event[[#This Row],[Event_ID]]&amp;" "&amp;YEAR(Dim2_Event[[#This Row],[EventAarFristDatoTid_RD]]))</f>
        <v>Ping Pong DM 2016</v>
      </c>
      <c r="C13" s="1" t="s">
        <v>522</v>
      </c>
      <c r="D13" s="1" t="s">
        <v>514</v>
      </c>
      <c r="E13" s="10">
        <v>42708.999988425923</v>
      </c>
      <c r="F13" s="10">
        <v>42647.5</v>
      </c>
      <c r="G13" s="21">
        <v>42719</v>
      </c>
      <c r="H13" s="5" t="s">
        <v>658</v>
      </c>
      <c r="I13" s="1" t="s">
        <v>305</v>
      </c>
      <c r="J13" s="1" t="s">
        <v>307</v>
      </c>
      <c r="K13" s="4">
        <v>2100</v>
      </c>
      <c r="L13" s="1" t="s">
        <v>41</v>
      </c>
      <c r="M13" s="1" t="s">
        <v>330</v>
      </c>
      <c r="N13" s="1" t="s">
        <v>331</v>
      </c>
      <c r="O13" s="22" t="s">
        <v>326</v>
      </c>
      <c r="P13" s="1"/>
      <c r="Q13" s="1"/>
    </row>
    <row r="14" spans="1:17" x14ac:dyDescent="0.3">
      <c r="A14" s="9" cm="1">
        <f t="array" ref="A14">ROW(Dim2_Event[#Headers])+ROWS(Dim2_Event[])-ROW()+1</f>
        <v>2</v>
      </c>
      <c r="B14" s="20" t="str">
        <f>IF(OR(ISBLANK(Dim2_Event[[#This Row],[Event_ID]]),ISBLANK(Dim2_Event[[#This Row],[EventAarFristDatoTid_RD]])),"",Dim2_Event[[#This Row],[Event_ID]]&amp;" "&amp;YEAR(Dim2_Event[[#This Row],[EventAarFristDatoTid_RD]]))</f>
        <v>Ping Pong DM 2015</v>
      </c>
      <c r="C14" s="1" t="s">
        <v>523</v>
      </c>
      <c r="D14" s="1" t="s">
        <v>514</v>
      </c>
      <c r="E14" s="10">
        <v>42344.999988425923</v>
      </c>
      <c r="F14" s="10">
        <v>42283.5</v>
      </c>
      <c r="G14" s="21">
        <v>42355</v>
      </c>
      <c r="H14" s="5" t="s">
        <v>658</v>
      </c>
      <c r="I14" s="1" t="s">
        <v>8</v>
      </c>
      <c r="J14" s="1" t="s">
        <v>306</v>
      </c>
      <c r="K14" s="4">
        <v>9850</v>
      </c>
      <c r="L14" s="1" t="s">
        <v>38</v>
      </c>
      <c r="M14" s="1" t="s">
        <v>330</v>
      </c>
      <c r="N14" s="1" t="s">
        <v>331</v>
      </c>
      <c r="O14" s="22" t="s">
        <v>327</v>
      </c>
      <c r="P14" s="1"/>
      <c r="Q14" s="1"/>
    </row>
    <row r="15" spans="1:17" x14ac:dyDescent="0.3">
      <c r="A15" s="9" cm="1">
        <f t="array" ref="A15">ROW(Dim2_Event[#Headers])+ROWS(Dim2_Event[])-ROW()+1</f>
        <v>1</v>
      </c>
      <c r="B15" s="20" t="str">
        <f>IF(OR(ISBLANK(Dim2_Event[[#This Row],[Event_ID]]),ISBLANK(Dim2_Event[[#This Row],[EventAarFristDatoTid_RD]])),"",Dim2_Event[[#This Row],[Event_ID]]&amp;" "&amp;YEAR(Dim2_Event[[#This Row],[EventAarFristDatoTid_RD]]))</f>
        <v>Ping Pong DM 2014</v>
      </c>
      <c r="C15" s="1" t="s">
        <v>524</v>
      </c>
      <c r="D15" s="1" t="s">
        <v>514</v>
      </c>
      <c r="E15" s="10">
        <v>41980.999988425923</v>
      </c>
      <c r="F15" s="10">
        <v>41919.5</v>
      </c>
      <c r="G15" s="21">
        <v>41991</v>
      </c>
      <c r="H15" s="5" t="s">
        <v>658</v>
      </c>
      <c r="I15" s="1" t="s">
        <v>8</v>
      </c>
      <c r="J15" s="1" t="s">
        <v>306</v>
      </c>
      <c r="K15" s="4">
        <v>9850</v>
      </c>
      <c r="L15" s="1" t="s">
        <v>38</v>
      </c>
      <c r="M15" s="1" t="s">
        <v>330</v>
      </c>
      <c r="N15" s="1" t="s">
        <v>331</v>
      </c>
      <c r="O15" s="22" t="s">
        <v>327</v>
      </c>
      <c r="P15" s="1"/>
      <c r="Q15" s="1"/>
    </row>
  </sheetData>
  <mergeCells count="2">
    <mergeCell ref="A1:Q1"/>
    <mergeCell ref="A2:Q2"/>
  </mergeCells>
  <dataValidations count="5">
    <dataValidation type="list" allowBlank="1" showInputMessage="1" showErrorMessage="1" sqref="D4:D15" xr:uid="{820500B3-A3B6-4537-8C3B-DECC834A4F7B}">
      <formula1>tbl_Event_d3</formula1>
    </dataValidation>
    <dataValidation type="list" allowBlank="1" showInputMessage="1" showErrorMessage="1" sqref="E5:G15" xr:uid="{5E62C165-01F6-4AEF-84D2-76EA0245FADC}">
      <formula1>tbl_Event_Event_d3</formula1>
    </dataValidation>
    <dataValidation type="date" operator="greaterThanOrEqual" allowBlank="1" showInputMessage="1" showErrorMessage="1" sqref="E5:G15" xr:uid="{995515D0-D0FA-4310-9DEF-89E55AC8612E}">
      <formula1>1</formula1>
    </dataValidation>
    <dataValidation type="whole" operator="greaterThan" allowBlank="1" showInputMessage="1" showErrorMessage="1" sqref="K4:K15" xr:uid="{A6F476D3-34A6-4564-B977-3EC6F8027514}">
      <formula1>0</formula1>
    </dataValidation>
    <dataValidation type="list" allowBlank="1" showInputMessage="1" showErrorMessage="1" sqref="H4:H15" xr:uid="{D915A26A-625D-4862-BDDA-DA7A6220AD3E}">
      <formula1>"1,0"</formula1>
    </dataValidation>
  </dataValidations>
  <hyperlinks>
    <hyperlink ref="O5" r:id="rId1" xr:uid="{74132A9D-FB68-484A-94B5-CE787D003C7D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02EF-635A-4843-86BB-69D75F394B43}">
  <sheetPr>
    <tabColor theme="7" tint="0.79998168889431442"/>
  </sheetPr>
  <dimension ref="A1:E4"/>
  <sheetViews>
    <sheetView showGridLines="0"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11.109375" bestFit="1" customWidth="1"/>
    <col min="2" max="2" width="12.88671875" bestFit="1" customWidth="1"/>
    <col min="3" max="3" width="12.109375" bestFit="1" customWidth="1"/>
    <col min="4" max="4" width="18.44140625" bestFit="1" customWidth="1"/>
    <col min="5" max="5" width="17.44140625" bestFit="1" customWidth="1"/>
  </cols>
  <sheetData>
    <row r="1" spans="1:5" x14ac:dyDescent="0.3">
      <c r="A1" s="25" t="str" cm="1">
        <f t="array" aca="1" ref="A1" ca="1">_xlfn.TEXTAFTER(CELL("filnavn",A1),"]")</f>
        <v>🎫 Dim3_Event</v>
      </c>
      <c r="B1" s="25"/>
      <c r="C1" s="25"/>
      <c r="D1" s="25"/>
      <c r="E1" s="25"/>
    </row>
    <row r="2" spans="1:5" x14ac:dyDescent="0.3">
      <c r="A2" s="26" t="str" cm="1">
        <f t="array" ref="A2">TEXT(COLUMNS(Dim3_Event[]),"#.##0")&amp;" · "&amp;TEXT(ROWS(Dim3_Event[]),"#.##0")&amp;" = "&amp;TEXT(SUMPRODUCT(COLUMNS(Dim3_Event[]),ROWS(Dim3_Event[])),"#.##0")
&amp;" ("&amp;IF(AND(COUNTIF(Dim3_Event[Event_ID],Dim3_Event[Event_ID])&lt;2),"✓","X")&amp;")"</f>
        <v>5 · 1 = 5 (✓)</v>
      </c>
      <c r="B2" s="26"/>
      <c r="C2" s="26"/>
      <c r="D2" s="26"/>
      <c r="E2" s="26"/>
    </row>
    <row r="3" spans="1:5" x14ac:dyDescent="0.3">
      <c r="A3" t="s">
        <v>628</v>
      </c>
      <c r="B3" t="s">
        <v>694</v>
      </c>
      <c r="C3" t="s">
        <v>700</v>
      </c>
      <c r="D3" t="s">
        <v>629</v>
      </c>
      <c r="E3" t="s">
        <v>630</v>
      </c>
    </row>
    <row r="4" spans="1:5" x14ac:dyDescent="0.3">
      <c r="A4" s="9" cm="1">
        <f t="array" ref="A4">ROW()-ROW(Dim3_Event[#Headers])</f>
        <v>1</v>
      </c>
      <c r="B4" s="7" t="str">
        <f>IF(OR(ISBLANK(Dim3_Event[[#This Row],[EventSportsgren_RD]]),ISBLANK(Dim3_Event[[#This Row],[EventTurnering_RD]])),"",Dim3_Event[[#This Row],[EventSportsgren_RD]]&amp;" "&amp;Dim3_Event[[#This Row],[EventTurnering_RD]])</f>
        <v>Ping Pong DM</v>
      </c>
      <c r="C4" s="1" t="s">
        <v>514</v>
      </c>
      <c r="D4" s="1" t="s">
        <v>464</v>
      </c>
      <c r="E4" s="1" t="s">
        <v>546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F8DF-7C5E-4740-B594-8821D2696B50}">
  <sheetPr>
    <tabColor theme="7" tint="0.79998168889431442"/>
  </sheetPr>
  <dimension ref="A1:E6"/>
  <sheetViews>
    <sheetView showGridLines="0"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13.33203125" bestFit="1" customWidth="1"/>
    <col min="2" max="2" width="14.6640625" bestFit="1" customWidth="1"/>
    <col min="3" max="3" width="14.33203125" bestFit="1" customWidth="1"/>
    <col min="4" max="4" width="16.109375" bestFit="1" customWidth="1"/>
    <col min="5" max="5" width="62.21875" bestFit="1" customWidth="1"/>
  </cols>
  <sheetData>
    <row r="1" spans="1:5" x14ac:dyDescent="0.3">
      <c r="A1" s="25" t="str" cm="1">
        <f t="array" aca="1" ref="A1" ca="1">_xlfn.TEXTAFTER(CELL("filnavn",A1),"]")</f>
        <v>🎫 Dim2_BilletKat</v>
      </c>
      <c r="B1" s="25"/>
      <c r="C1" s="25"/>
      <c r="D1" s="25"/>
      <c r="E1" s="25"/>
    </row>
    <row r="2" spans="1:5" x14ac:dyDescent="0.3">
      <c r="A2" s="26" t="str" cm="1">
        <f t="array" ref="A2">TEXT(COLUMNS(Dim2_BilletKat[]),"#.##0")&amp;" · "&amp;TEXT(ROWS(Dim2_BilletKat[]),"#.##0")&amp;" = "&amp;TEXT(SUMPRODUCT(COLUMNS(Dim2_BilletKat[]),ROWS(Dim2_BilletKat[])),"#.##0")
&amp;" ("&amp;IF(AND(COUNTIF(Dim2_BilletKat[BilletKat_ID],Dim2_BilletKat[BilletKat_ID])&lt;2),"✓","X")&amp;")"</f>
        <v>5 · 3 = 15 (✓)</v>
      </c>
      <c r="B2" s="26"/>
      <c r="C2" s="26"/>
      <c r="D2" s="26"/>
      <c r="E2" s="26"/>
    </row>
    <row r="3" spans="1:5" x14ac:dyDescent="0.3">
      <c r="A3" s="4" t="s">
        <v>631</v>
      </c>
      <c r="B3" s="6" t="s">
        <v>690</v>
      </c>
      <c r="C3" t="s">
        <v>701</v>
      </c>
      <c r="D3" t="s">
        <v>632</v>
      </c>
      <c r="E3" t="s">
        <v>633</v>
      </c>
    </row>
    <row r="4" spans="1:5" x14ac:dyDescent="0.3">
      <c r="A4" s="9" cm="1">
        <f t="array" ref="A4">ROW()-ROW(Dim2_BilletKat[#Headers])</f>
        <v>1</v>
      </c>
      <c r="B4" s="6" t="s">
        <v>464</v>
      </c>
      <c r="C4" s="1" t="s">
        <v>464</v>
      </c>
      <c r="D4" s="1" t="s">
        <v>460</v>
      </c>
      <c r="E4" s="1" t="s">
        <v>493</v>
      </c>
    </row>
    <row r="5" spans="1:5" x14ac:dyDescent="0.3">
      <c r="A5" s="9" cm="1">
        <f t="array" ref="A5">ROW()-ROW(Dim2_BilletKat[#Headers])</f>
        <v>2</v>
      </c>
      <c r="B5" s="6" t="s">
        <v>465</v>
      </c>
      <c r="C5" s="1" t="s">
        <v>465</v>
      </c>
      <c r="D5" s="1" t="s">
        <v>466</v>
      </c>
      <c r="E5" s="1" t="s">
        <v>495</v>
      </c>
    </row>
    <row r="6" spans="1:5" x14ac:dyDescent="0.3">
      <c r="A6" s="9" cm="1">
        <f t="array" ref="A6">ROW()-ROW(Dim2_BilletKat[#Headers])</f>
        <v>3</v>
      </c>
      <c r="B6" s="6" t="s">
        <v>467</v>
      </c>
      <c r="C6" s="1" t="s">
        <v>467</v>
      </c>
      <c r="D6" s="1" t="s">
        <v>468</v>
      </c>
      <c r="E6" s="1" t="s">
        <v>496</v>
      </c>
    </row>
  </sheetData>
  <mergeCells count="2">
    <mergeCell ref="A2:E2"/>
    <mergeCell ref="A1:E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38CC-8BA4-406A-BD51-BF7EBC3525BB}">
  <sheetPr>
    <tabColor theme="7" tint="0.79998168889431442"/>
  </sheetPr>
  <dimension ref="A1:C5"/>
  <sheetViews>
    <sheetView showGridLines="0" workbookViewId="0">
      <pane ySplit="3" topLeftCell="A4" activePane="bottomLeft" state="frozen"/>
      <selection pane="bottomLeft" sqref="A1:B1"/>
    </sheetView>
  </sheetViews>
  <sheetFormatPr defaultRowHeight="14.4" x14ac:dyDescent="0.3"/>
  <cols>
    <col min="1" max="1" width="17.5546875" bestFit="1" customWidth="1"/>
    <col min="2" max="2" width="14.88671875" bestFit="1" customWidth="1"/>
    <col min="3" max="3" width="15.44140625" bestFit="1" customWidth="1"/>
  </cols>
  <sheetData>
    <row r="1" spans="1:3" x14ac:dyDescent="0.3">
      <c r="A1" s="25" t="str" cm="1">
        <f t="array" aca="1" ref="A1" ca="1">_xlfn.TEXTAFTER(CELL("filnavn",A1),"]")</f>
        <v>🎫 Dim2_BilletDisciplin</v>
      </c>
      <c r="B1" s="25"/>
    </row>
    <row r="2" spans="1:3" x14ac:dyDescent="0.3">
      <c r="A2" s="26" t="str" cm="1">
        <f t="array" ref="A2">TEXT(COLUMNS(Disciplin_d2[]),"#.##0")&amp;" · "&amp;TEXT(ROWS(Disciplin_d2[]),"#.##0")&amp;" = "&amp;TEXT(SUMPRODUCT(COLUMNS(Disciplin_d2[]),ROWS(Disciplin_d2[])),"#.##0")
&amp;" ("&amp;IF(AND(COUNTIF(Disciplin_d2[BilletDisciplin_ID],Disciplin_d2[BilletDisciplin_ID])&lt;2),"✓","X")&amp;")"</f>
        <v>3 · 2 = 6 (✓)</v>
      </c>
      <c r="B2" s="26"/>
    </row>
    <row r="3" spans="1:3" x14ac:dyDescent="0.3">
      <c r="A3" s="4" t="s">
        <v>634</v>
      </c>
      <c r="B3" s="6" t="s">
        <v>691</v>
      </c>
      <c r="C3" t="s">
        <v>702</v>
      </c>
    </row>
    <row r="4" spans="1:3" x14ac:dyDescent="0.3">
      <c r="A4" s="9" cm="1">
        <f t="array" ref="A4">ROW()-ROW(Disciplin_d2[#Headers])</f>
        <v>1</v>
      </c>
      <c r="B4" s="6" t="s">
        <v>441</v>
      </c>
      <c r="C4" s="1" t="s">
        <v>441</v>
      </c>
    </row>
    <row r="5" spans="1:3" x14ac:dyDescent="0.3">
      <c r="A5" s="9" cm="1">
        <f t="array" ref="A5">ROW()-ROW(Disciplin_d2[#Headers])</f>
        <v>2</v>
      </c>
      <c r="B5" s="6" t="s">
        <v>443</v>
      </c>
      <c r="C5" s="1" t="s">
        <v>443</v>
      </c>
    </row>
  </sheetData>
  <mergeCells count="2">
    <mergeCell ref="A2:B2"/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6DD-2807-4FD8-BA9A-5BFC7BB17E91}">
  <sheetPr>
    <tabColor theme="7" tint="0.79998168889431442"/>
  </sheetPr>
  <dimension ref="A1:C5"/>
  <sheetViews>
    <sheetView showGridLines="0" workbookViewId="0">
      <pane ySplit="3" topLeftCell="A4" activePane="bottomLeft" state="frozen"/>
      <selection pane="bottomLeft" sqref="A1:B1"/>
    </sheetView>
  </sheetViews>
  <sheetFormatPr defaultRowHeight="14.4" x14ac:dyDescent="0.3"/>
  <cols>
    <col min="1" max="1" width="16.6640625" bestFit="1" customWidth="1"/>
    <col min="2" max="2" width="14.109375" bestFit="1" customWidth="1"/>
    <col min="3" max="3" width="14.6640625" bestFit="1" customWidth="1"/>
  </cols>
  <sheetData>
    <row r="1" spans="1:3" x14ac:dyDescent="0.3">
      <c r="A1" s="25" t="str" cm="1">
        <f t="array" aca="1" ref="A1" ca="1">_xlfn.TEXTAFTER(CELL("filnavn",A1),"]")</f>
        <v>🎫 Dim2_BilletRække</v>
      </c>
      <c r="B1" s="25"/>
    </row>
    <row r="2" spans="1:3" x14ac:dyDescent="0.3">
      <c r="A2" s="26" t="str" cm="1">
        <f t="array" ref="A2">TEXT(COLUMNS(Række_d2[]),"#.##0")&amp;" · "&amp;TEXT(ROWS(Række_d2[]),"#.##0")&amp;" = "&amp;TEXT(SUMPRODUCT(COLUMNS(Række_d2[]),ROWS(Række_d2[])),"#.##0")
&amp;" ("&amp;IF(AND(COUNTIF(Række_d2[BilletRaekke_ID],Række_d2[BilletRaekke_ID])&lt;2),"✓","X")&amp;")"</f>
        <v>3 · 2 = 6 (✓)</v>
      </c>
      <c r="B2" s="26"/>
    </row>
    <row r="3" spans="1:3" x14ac:dyDescent="0.3">
      <c r="A3" s="4" t="s">
        <v>635</v>
      </c>
      <c r="B3" s="6" t="s">
        <v>692</v>
      </c>
      <c r="C3" t="s">
        <v>703</v>
      </c>
    </row>
    <row r="4" spans="1:3" x14ac:dyDescent="0.3">
      <c r="A4" s="9" cm="1">
        <f t="array" ref="A4">ROW()-ROW(Række_d2[#Headers])</f>
        <v>1</v>
      </c>
      <c r="B4" s="6" t="s">
        <v>442</v>
      </c>
      <c r="C4" s="1" t="s">
        <v>442</v>
      </c>
    </row>
    <row r="5" spans="1:3" x14ac:dyDescent="0.3">
      <c r="A5" s="9" cm="1">
        <f t="array" ref="A5">ROW()-ROW(Række_d2[#Headers])</f>
        <v>2</v>
      </c>
      <c r="B5" s="6" t="s">
        <v>444</v>
      </c>
      <c r="C5" s="1" t="s">
        <v>444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0C0A-C321-458D-8475-4E7DC70703F9}">
  <sheetPr>
    <tabColor theme="7" tint="0.79998168889431442"/>
  </sheetPr>
  <dimension ref="A1:E5"/>
  <sheetViews>
    <sheetView showGridLines="0"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19.6640625" bestFit="1" customWidth="1"/>
    <col min="2" max="2" width="17" bestFit="1" customWidth="1"/>
    <col min="3" max="3" width="17.6640625" bestFit="1" customWidth="1"/>
    <col min="4" max="4" width="22.5546875" bestFit="1" customWidth="1"/>
    <col min="5" max="5" width="40.6640625" bestFit="1" customWidth="1"/>
  </cols>
  <sheetData>
    <row r="1" spans="1:5" x14ac:dyDescent="0.3">
      <c r="A1" s="25" t="str" cm="1">
        <f t="array" aca="1" ref="A1" ca="1">_xlfn.TEXTAFTER(CELL("filnavn",A1),"]")</f>
        <v>🎫 Dim2_BilletSpilformat</v>
      </c>
      <c r="B1" s="25"/>
      <c r="C1" s="25"/>
      <c r="D1" s="25"/>
      <c r="E1" s="25"/>
    </row>
    <row r="2" spans="1:5" x14ac:dyDescent="0.3">
      <c r="A2" s="26" t="str" cm="1">
        <f t="array" ref="A2">TEXT(COLUMNS(Spilformat_d2[]),"#.##0")&amp;" · "&amp;TEXT(ROWS(Spilformat_d2[]),"#.##0")&amp;" = "&amp;TEXT(SUMPRODUCT(COLUMNS(Spilformat_d2[]),ROWS(Spilformat_d2[])),"#.##0")
&amp;" ("&amp;IF(AND(COUNTIF(Spilformat_d2[BilletSpilFormat_ID],Spilformat_d2[BilletSpilFormat_ID])&lt;2),"✓","X")&amp;")"</f>
        <v>5 · 2 = 10 (✓)</v>
      </c>
      <c r="B2" s="26"/>
      <c r="C2" s="26"/>
      <c r="D2" s="26"/>
      <c r="E2" s="26"/>
    </row>
    <row r="3" spans="1:5" x14ac:dyDescent="0.3">
      <c r="A3" s="4" t="s">
        <v>636</v>
      </c>
      <c r="B3" s="6" t="s">
        <v>693</v>
      </c>
      <c r="C3" t="s">
        <v>704</v>
      </c>
      <c r="D3" t="s">
        <v>637</v>
      </c>
      <c r="E3" t="s">
        <v>638</v>
      </c>
    </row>
    <row r="4" spans="1:5" x14ac:dyDescent="0.3">
      <c r="A4" s="9" cm="1">
        <f t="array" ref="A4">ROW()-ROW(Spilformat_d2[#Headers])</f>
        <v>1</v>
      </c>
      <c r="B4" s="6" t="s">
        <v>445</v>
      </c>
      <c r="C4" s="1" t="s">
        <v>445</v>
      </c>
      <c r="D4" s="1" t="s">
        <v>463</v>
      </c>
      <c r="E4" s="1" t="s">
        <v>508</v>
      </c>
    </row>
    <row r="5" spans="1:5" x14ac:dyDescent="0.3">
      <c r="A5" s="9" cm="1">
        <f t="array" ref="A5">ROW()-ROW(Spilformat_d2[#Headers])</f>
        <v>2</v>
      </c>
      <c r="B5" s="6" t="s">
        <v>446</v>
      </c>
      <c r="C5" s="1" t="s">
        <v>446</v>
      </c>
      <c r="D5" s="1" t="s">
        <v>469</v>
      </c>
      <c r="E5" s="1" t="s">
        <v>509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8D95-EFCE-47D5-BED4-BB388210B86C}">
  <sheetPr>
    <tabColor theme="7" tint="0.79998168889431442"/>
  </sheetPr>
  <dimension ref="A1:D5"/>
  <sheetViews>
    <sheetView showGridLines="0"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22.88671875" bestFit="1" customWidth="1"/>
    <col min="2" max="2" width="23.6640625" bestFit="1" customWidth="1"/>
    <col min="3" max="3" width="24.88671875" bestFit="1" customWidth="1"/>
    <col min="4" max="4" width="20.77734375" bestFit="1" customWidth="1"/>
  </cols>
  <sheetData>
    <row r="1" spans="1:4" x14ac:dyDescent="0.3">
      <c r="A1" s="25" t="str" cm="1">
        <f t="array" aca="1" ref="A1" ca="1">_xlfn.TEXTAFTER(CELL("filnavn",A1),"]")</f>
        <v>🎫 Dim1_OrdreFoersteTid</v>
      </c>
      <c r="B1" s="25"/>
      <c r="C1" s="25"/>
      <c r="D1" s="25"/>
    </row>
    <row r="2" spans="1:4" x14ac:dyDescent="0.3">
      <c r="A2" s="26" t="str" cm="1">
        <f t="array" ref="A2">TEXT(COLUMNS(Klokkeslætsinterval_d1[]),"#.##0")&amp;" · "&amp;TEXT(ROWS(Klokkeslætsinterval_d1[]),"#.##0")&amp;" = "&amp;TEXT(SUMPRODUCT(COLUMNS(Klokkeslætsinterval_d1[]),ROWS(Klokkeslætsinterval_d1[])),"#.##0")
&amp;" ("&amp;IF(AND(COUNTIFS(Klokkeslætsinterval_d1[OrdreFoersteTidKatMin_RD],Klokkeslætsinterval_d1[OrdreFoersteTidKatMin_RD],Klokkeslætsinterval_d1[OrdreFoersteTidKatMaks_RD],Klokkeslætsinterval_d1[OrdreFoersteTidKatMaks_RD])&lt;2),"✓","X")&amp;")"</f>
        <v>4 · 2 = 8 (✓)</v>
      </c>
      <c r="B2" s="26"/>
      <c r="C2" s="26"/>
      <c r="D2" s="26"/>
    </row>
    <row r="3" spans="1:4" x14ac:dyDescent="0.3">
      <c r="A3" s="4" t="s">
        <v>655</v>
      </c>
      <c r="B3" s="3" t="s">
        <v>724</v>
      </c>
      <c r="C3" s="3" t="s">
        <v>725</v>
      </c>
      <c r="D3" s="23" t="s">
        <v>656</v>
      </c>
    </row>
    <row r="4" spans="1:4" x14ac:dyDescent="0.3">
      <c r="A4" s="9" cm="1">
        <f t="array" ref="A4">ROW()-ROW(Klokkeslætsinterval_d1[#Headers])</f>
        <v>1</v>
      </c>
      <c r="B4" s="23">
        <v>180000</v>
      </c>
      <c r="C4" s="23">
        <v>235959</v>
      </c>
      <c r="D4" s="5" t="s">
        <v>490</v>
      </c>
    </row>
    <row r="5" spans="1:4" x14ac:dyDescent="0.3">
      <c r="A5" s="9" cm="1">
        <f t="array" ref="A5">ROW()-ROW(Klokkeslætsinterval_d1[#Headers])</f>
        <v>2</v>
      </c>
      <c r="B5" s="23" t="s">
        <v>549</v>
      </c>
      <c r="C5" s="23">
        <v>175959</v>
      </c>
      <c r="D5" s="5" t="s">
        <v>491</v>
      </c>
    </row>
  </sheetData>
  <mergeCells count="2">
    <mergeCell ref="A2:D2"/>
    <mergeCell ref="A1:D1"/>
  </mergeCells>
  <dataValidations count="2">
    <dataValidation operator="greaterThanOrEqual" allowBlank="1" showInputMessage="1" showErrorMessage="1" sqref="B5" xr:uid="{D4003BAB-F351-4161-BD4F-5CF9670F22C2}"/>
    <dataValidation type="whole" operator="greaterThanOrEqual" allowBlank="1" showInputMessage="1" showErrorMessage="1" sqref="C4:C5 B4" xr:uid="{C02E790C-FCF6-4E20-873C-7EA8BE773038}">
      <formula1>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BD05-C828-4265-A25F-356DA0FE972C}">
  <sheetPr>
    <tabColor theme="7" tint="0.79998168889431442"/>
  </sheetPr>
  <dimension ref="A1:E6"/>
  <sheetViews>
    <sheetView showGridLines="0"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14.6640625" bestFit="1" customWidth="1"/>
    <col min="2" max="2" width="11.33203125" bestFit="1" customWidth="1"/>
    <col min="3" max="3" width="12.5546875" bestFit="1" customWidth="1"/>
    <col min="4" max="4" width="17.5546875" bestFit="1" customWidth="1"/>
    <col min="5" max="5" width="64.44140625" bestFit="1" customWidth="1"/>
  </cols>
  <sheetData>
    <row r="1" spans="1:5" x14ac:dyDescent="0.3">
      <c r="A1" s="25" t="str" cm="1">
        <f t="array" aca="1" ref="A1" ca="1">_xlfn.TEXTAFTER(CELL("filnavn",A1),"]")</f>
        <v>🎫 Dim1_OrdreKat</v>
      </c>
      <c r="B1" s="25"/>
      <c r="C1" s="25"/>
      <c r="D1" s="25"/>
      <c r="E1" s="25"/>
    </row>
    <row r="2" spans="1:5" x14ac:dyDescent="0.3">
      <c r="A2" s="26" t="str" cm="1">
        <f t="array" ref="A2">TEXT(COLUMNS(Tilmeldingstype_d1[]),"#.##0")&amp;" · "&amp;TEXT(ROWS(Tilmeldingstype_d1[]),"#.##0")&amp;" = "&amp;TEXT(SUMPRODUCT(COLUMNS(Tilmeldingstype_d1[]),ROWS(Tilmeldingstype_d1[])),"#.##0")
&amp;" ("&amp;IF(AND(COUNTIF(Tilmeldingstype_d1[OrdreKat_ID],Tilmeldingstype_d1[OrdreKat_ID])&lt;2),"✓","X")&amp;")"</f>
        <v>5 · 3 = 15 (✓)</v>
      </c>
      <c r="B2" s="26"/>
      <c r="C2" s="26"/>
      <c r="D2" s="26"/>
      <c r="E2" s="26"/>
    </row>
    <row r="3" spans="1:5" x14ac:dyDescent="0.3">
      <c r="A3" s="4" t="s">
        <v>706</v>
      </c>
      <c r="B3" s="6" t="s">
        <v>705</v>
      </c>
      <c r="C3" t="s">
        <v>664</v>
      </c>
      <c r="D3" t="s">
        <v>708</v>
      </c>
      <c r="E3" t="s">
        <v>707</v>
      </c>
    </row>
    <row r="4" spans="1:5" x14ac:dyDescent="0.3">
      <c r="A4" s="9" cm="1">
        <f t="array" ref="A4">ROW()-ROW(Tilmeldingstype_d1[#Headers])</f>
        <v>1</v>
      </c>
      <c r="B4" s="6" t="s">
        <v>470</v>
      </c>
      <c r="C4" s="1" t="s">
        <v>470</v>
      </c>
      <c r="D4" s="1" t="s">
        <v>471</v>
      </c>
      <c r="E4" s="1" t="s">
        <v>506</v>
      </c>
    </row>
    <row r="5" spans="1:5" x14ac:dyDescent="0.3">
      <c r="A5" s="9" cm="1">
        <f t="array" ref="A5">ROW()-ROW(Tilmeldingstype_d1[#Headers])</f>
        <v>2</v>
      </c>
      <c r="B5" s="6" t="s">
        <v>472</v>
      </c>
      <c r="C5" s="1" t="s">
        <v>472</v>
      </c>
      <c r="D5" s="1" t="s">
        <v>473</v>
      </c>
      <c r="E5" s="1" t="s">
        <v>566</v>
      </c>
    </row>
    <row r="6" spans="1:5" x14ac:dyDescent="0.3">
      <c r="A6" s="9" cm="1">
        <f t="array" ref="A6">ROW()-ROW(Tilmeldingstype_d1[#Headers])</f>
        <v>3</v>
      </c>
      <c r="B6" s="6" t="s">
        <v>474</v>
      </c>
      <c r="C6" s="1" t="s">
        <v>474</v>
      </c>
      <c r="D6" s="1" t="s">
        <v>475</v>
      </c>
      <c r="E6" s="1" t="s">
        <v>507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B13C-BD70-48EB-99D4-6447FEFFDB69}">
  <sheetPr>
    <tabColor theme="9" tint="0.79998168889431442"/>
  </sheetPr>
  <dimension ref="A1:G44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0.109375" bestFit="1" customWidth="1"/>
    <col min="2" max="2" width="18.109375" bestFit="1" customWidth="1"/>
    <col min="3" max="3" width="17.33203125" bestFit="1" customWidth="1"/>
    <col min="4" max="4" width="13.6640625" bestFit="1" customWidth="1"/>
    <col min="5" max="5" width="12.88671875" bestFit="1" customWidth="1"/>
    <col min="6" max="6" width="35.109375" bestFit="1" customWidth="1"/>
    <col min="7" max="7" width="17.88671875" bestFit="1" customWidth="1"/>
  </cols>
  <sheetData>
    <row r="1" spans="1:7" x14ac:dyDescent="0.3">
      <c r="A1" s="25" t="str" cm="1">
        <f t="array" aca="1" ref="A1" ca="1">_xlfn.TEXTAFTER(CELL("filnavn",A1),"]")</f>
        <v>🛖 Dim1_Klub</v>
      </c>
      <c r="B1" s="25"/>
      <c r="C1" s="25"/>
      <c r="D1" s="25"/>
      <c r="E1" s="25"/>
      <c r="F1" s="25"/>
      <c r="G1" s="25"/>
    </row>
    <row r="2" spans="1:7" x14ac:dyDescent="0.3">
      <c r="A2" s="26" t="str" cm="1">
        <f t="array" ref="A2">TEXT(COLUMNS(Bordtennisklub_d1[]),"#.##0")&amp;" · "&amp;TEXT(ROWS(Bordtennisklub_d1[]),"#.##0")&amp;" = "&amp;TEXT(SUMPRODUCT(COLUMNS(Bordtennisklub_d1[]),ROWS(Bordtennisklub_d1[])),"#.##0")
&amp;" ("&amp;IF(AND(COUNTIF(Bordtennisklub_d1[Klub_ID],Bordtennisklub_d1[Klub_ID])&lt;2),"✓","X")&amp;")"</f>
        <v>7 · 41 = 287 (✓)</v>
      </c>
      <c r="B2" s="26"/>
      <c r="C2" s="26"/>
      <c r="D2" s="26"/>
      <c r="E2" s="26"/>
      <c r="F2" s="26"/>
      <c r="G2" s="26"/>
    </row>
    <row r="3" spans="1:7" x14ac:dyDescent="0.3">
      <c r="A3" s="2" t="s">
        <v>639</v>
      </c>
      <c r="B3" s="6" t="s">
        <v>683</v>
      </c>
      <c r="C3" s="6" t="s">
        <v>709</v>
      </c>
      <c r="D3" s="5" t="s">
        <v>640</v>
      </c>
      <c r="E3" s="1" t="s">
        <v>641</v>
      </c>
      <c r="F3" s="1" t="s">
        <v>642</v>
      </c>
      <c r="G3" t="s">
        <v>695</v>
      </c>
    </row>
    <row r="4" spans="1:7" x14ac:dyDescent="0.3">
      <c r="A4" s="14" cm="1">
        <f t="array" ref="A4">ROW()-ROW(Bordtennisklub_d1[#Headers])</f>
        <v>1</v>
      </c>
      <c r="B4" s="6" t="s">
        <v>6</v>
      </c>
      <c r="C4" s="1" t="s">
        <v>6</v>
      </c>
      <c r="D4" s="5">
        <v>2770</v>
      </c>
      <c r="E4" s="1" t="s">
        <v>39</v>
      </c>
      <c r="F4" s="1" t="s">
        <v>134</v>
      </c>
      <c r="G4" s="1" t="s">
        <v>89</v>
      </c>
    </row>
    <row r="5" spans="1:7" x14ac:dyDescent="0.3">
      <c r="A5" s="14" cm="1">
        <f t="array" ref="A5">ROW()-ROW(Bordtennisklub_d1[#Headers])</f>
        <v>2</v>
      </c>
      <c r="B5" s="6" t="s">
        <v>8</v>
      </c>
      <c r="C5" s="1" t="s">
        <v>8</v>
      </c>
      <c r="D5" s="5">
        <v>9850</v>
      </c>
      <c r="E5" s="1" t="s">
        <v>38</v>
      </c>
      <c r="F5" s="1" t="s">
        <v>148</v>
      </c>
      <c r="G5" s="1" t="s">
        <v>85</v>
      </c>
    </row>
    <row r="6" spans="1:7" x14ac:dyDescent="0.3">
      <c r="A6" s="14" cm="1">
        <f t="array" ref="A6">ROW()-ROW(Bordtennisklub_d1[#Headers])</f>
        <v>3</v>
      </c>
      <c r="B6" s="6" t="s">
        <v>166</v>
      </c>
      <c r="C6" s="1" t="s">
        <v>166</v>
      </c>
      <c r="D6" s="5">
        <v>2605</v>
      </c>
      <c r="E6" s="1" t="s">
        <v>167</v>
      </c>
      <c r="F6" s="1" t="s">
        <v>171</v>
      </c>
      <c r="G6" s="1" t="s">
        <v>89</v>
      </c>
    </row>
    <row r="7" spans="1:7" x14ac:dyDescent="0.3">
      <c r="A7" s="14" cm="1">
        <f t="array" ref="A7">ROW()-ROW(Bordtennisklub_d1[#Headers])</f>
        <v>4</v>
      </c>
      <c r="B7" s="6" t="s">
        <v>53</v>
      </c>
      <c r="C7" s="1" t="s">
        <v>53</v>
      </c>
      <c r="D7" s="5">
        <v>9700</v>
      </c>
      <c r="E7" s="1" t="s">
        <v>53</v>
      </c>
      <c r="F7" s="1" t="s">
        <v>135</v>
      </c>
      <c r="G7" s="1" t="s">
        <v>85</v>
      </c>
    </row>
    <row r="8" spans="1:7" x14ac:dyDescent="0.3">
      <c r="A8" s="14" cm="1">
        <f t="array" ref="A8">ROW()-ROW(Bordtennisklub_d1[#Headers])</f>
        <v>5</v>
      </c>
      <c r="B8" s="6" t="s">
        <v>193</v>
      </c>
      <c r="C8" s="1" t="s">
        <v>193</v>
      </c>
      <c r="D8" s="5">
        <v>2400</v>
      </c>
      <c r="E8" s="1" t="s">
        <v>159</v>
      </c>
      <c r="F8" s="1" t="s">
        <v>160</v>
      </c>
      <c r="G8" s="1" t="s">
        <v>89</v>
      </c>
    </row>
    <row r="9" spans="1:7" x14ac:dyDescent="0.3">
      <c r="A9" s="14" cm="1">
        <f t="array" ref="A9">ROW()-ROW(Bordtennisklub_d1[#Headers])</f>
        <v>6</v>
      </c>
      <c r="B9" s="6" t="s">
        <v>197</v>
      </c>
      <c r="C9" s="1" t="s">
        <v>197</v>
      </c>
      <c r="D9" s="5">
        <v>8500</v>
      </c>
      <c r="E9" s="1" t="s">
        <v>198</v>
      </c>
      <c r="F9" s="1" t="s">
        <v>199</v>
      </c>
      <c r="G9" s="1" t="s">
        <v>86</v>
      </c>
    </row>
    <row r="10" spans="1:7" x14ac:dyDescent="0.3">
      <c r="A10" s="14" cm="1">
        <f t="array" ref="A10">ROW()-ROW(Bordtennisklub_d1[#Headers])</f>
        <v>7</v>
      </c>
      <c r="B10" s="6" t="s">
        <v>175</v>
      </c>
      <c r="C10" s="1" t="s">
        <v>175</v>
      </c>
      <c r="D10" s="5">
        <v>7400</v>
      </c>
      <c r="E10" s="1" t="s">
        <v>176</v>
      </c>
      <c r="F10" s="1" t="s">
        <v>174</v>
      </c>
      <c r="G10" s="1" t="s">
        <v>86</v>
      </c>
    </row>
    <row r="11" spans="1:7" x14ac:dyDescent="0.3">
      <c r="A11" s="14" cm="1">
        <f t="array" ref="A11">ROW()-ROW(Bordtennisklub_d1[#Headers])</f>
        <v>8</v>
      </c>
      <c r="B11" s="6" t="s">
        <v>236</v>
      </c>
      <c r="C11" s="1" t="s">
        <v>236</v>
      </c>
      <c r="D11" s="5">
        <v>9000</v>
      </c>
      <c r="E11" s="1" t="s">
        <v>237</v>
      </c>
      <c r="F11" s="1" t="s">
        <v>238</v>
      </c>
      <c r="G11" s="1" t="s">
        <v>85</v>
      </c>
    </row>
    <row r="12" spans="1:7" x14ac:dyDescent="0.3">
      <c r="A12" s="14" cm="1">
        <f t="array" ref="A12">ROW()-ROW(Bordtennisklub_d1[#Headers])</f>
        <v>9</v>
      </c>
      <c r="B12" s="6" t="s">
        <v>1</v>
      </c>
      <c r="C12" s="1" t="s">
        <v>1</v>
      </c>
      <c r="D12" s="5">
        <v>8260</v>
      </c>
      <c r="E12" s="1" t="s">
        <v>40</v>
      </c>
      <c r="F12" s="1" t="s">
        <v>136</v>
      </c>
      <c r="G12" s="1" t="s">
        <v>86</v>
      </c>
    </row>
    <row r="13" spans="1:7" x14ac:dyDescent="0.3">
      <c r="A13" s="14" cm="1">
        <f t="array" ref="A13">ROW()-ROW(Bordtennisklub_d1[#Headers])</f>
        <v>10</v>
      </c>
      <c r="B13" s="6" t="s">
        <v>26</v>
      </c>
      <c r="C13" s="1" t="s">
        <v>26</v>
      </c>
      <c r="D13" s="5">
        <v>6700</v>
      </c>
      <c r="E13" s="1" t="s">
        <v>35</v>
      </c>
      <c r="F13" s="1" t="s">
        <v>137</v>
      </c>
      <c r="G13" s="1" t="s">
        <v>87</v>
      </c>
    </row>
    <row r="14" spans="1:7" x14ac:dyDescent="0.3">
      <c r="A14" s="14" cm="1">
        <f t="array" ref="A14">ROW()-ROW(Bordtennisklub_d1[#Headers])</f>
        <v>11</v>
      </c>
      <c r="B14" s="6" t="s">
        <v>177</v>
      </c>
      <c r="C14" s="1" t="s">
        <v>177</v>
      </c>
      <c r="D14" s="5">
        <v>2000</v>
      </c>
      <c r="E14" s="1" t="s">
        <v>178</v>
      </c>
      <c r="F14" s="1" t="s">
        <v>179</v>
      </c>
      <c r="G14" s="1" t="s">
        <v>89</v>
      </c>
    </row>
    <row r="15" spans="1:7" x14ac:dyDescent="0.3">
      <c r="A15" s="14" cm="1">
        <f t="array" ref="A15">ROW()-ROW(Bordtennisklub_d1[#Headers])</f>
        <v>12</v>
      </c>
      <c r="B15" s="6" t="s">
        <v>52</v>
      </c>
      <c r="C15" s="1" t="s">
        <v>52</v>
      </c>
      <c r="D15" s="5">
        <v>8464</v>
      </c>
      <c r="E15" s="1" t="s">
        <v>51</v>
      </c>
      <c r="F15" s="1" t="s">
        <v>138</v>
      </c>
      <c r="G15" s="1" t="s">
        <v>86</v>
      </c>
    </row>
    <row r="16" spans="1:7" x14ac:dyDescent="0.3">
      <c r="A16" s="14" cm="1">
        <f t="array" ref="A16">ROW()-ROW(Bordtennisklub_d1[#Headers])</f>
        <v>13</v>
      </c>
      <c r="B16" s="6" t="s">
        <v>168</v>
      </c>
      <c r="C16" s="1" t="s">
        <v>168</v>
      </c>
      <c r="D16" s="5">
        <v>2670</v>
      </c>
      <c r="E16" s="1" t="s">
        <v>169</v>
      </c>
      <c r="F16" s="1" t="s">
        <v>196</v>
      </c>
      <c r="G16" s="1" t="s">
        <v>88</v>
      </c>
    </row>
    <row r="17" spans="1:7" x14ac:dyDescent="0.3">
      <c r="A17" s="14" cm="1">
        <f t="array" ref="A17">ROW()-ROW(Bordtennisklub_d1[#Headers])</f>
        <v>14</v>
      </c>
      <c r="B17" s="6" t="s">
        <v>106</v>
      </c>
      <c r="C17" s="1" t="s">
        <v>106</v>
      </c>
      <c r="D17" s="5">
        <v>3790</v>
      </c>
      <c r="E17" s="1" t="s">
        <v>107</v>
      </c>
      <c r="F17" s="1" t="s">
        <v>139</v>
      </c>
      <c r="G17" s="1" t="s">
        <v>89</v>
      </c>
    </row>
    <row r="18" spans="1:7" x14ac:dyDescent="0.3">
      <c r="A18" s="14" cm="1">
        <f t="array" ref="A18">ROW()-ROW(Bordtennisklub_d1[#Headers])</f>
        <v>15</v>
      </c>
      <c r="B18" s="6" t="s">
        <v>680</v>
      </c>
      <c r="C18" s="1" t="s">
        <v>680</v>
      </c>
      <c r="D18" s="5" t="s">
        <v>681</v>
      </c>
      <c r="E18" s="1" t="s">
        <v>176</v>
      </c>
      <c r="F18" s="1" t="s">
        <v>682</v>
      </c>
      <c r="G18" s="1" t="s">
        <v>86</v>
      </c>
    </row>
    <row r="19" spans="1:7" x14ac:dyDescent="0.3">
      <c r="A19" s="14" cm="1">
        <f t="array" ref="A19">ROW()-ROW(Bordtennisklub_d1[#Headers])</f>
        <v>16</v>
      </c>
      <c r="B19" s="6" t="s">
        <v>150</v>
      </c>
      <c r="C19" s="1" t="s">
        <v>150</v>
      </c>
      <c r="D19" s="5">
        <v>3400</v>
      </c>
      <c r="E19" s="1" t="s">
        <v>151</v>
      </c>
      <c r="F19" s="1" t="s">
        <v>152</v>
      </c>
      <c r="G19" s="1" t="s">
        <v>89</v>
      </c>
    </row>
    <row r="20" spans="1:7" x14ac:dyDescent="0.3">
      <c r="A20" s="14" cm="1">
        <f t="array" ref="A20">ROW()-ROW(Bordtennisklub_d1[#Headers])</f>
        <v>17</v>
      </c>
      <c r="B20" s="6" t="s">
        <v>181</v>
      </c>
      <c r="C20" s="1" t="s">
        <v>181</v>
      </c>
      <c r="D20" s="5">
        <v>4300</v>
      </c>
      <c r="E20" s="1" t="s">
        <v>183</v>
      </c>
      <c r="F20" s="1" t="s">
        <v>184</v>
      </c>
      <c r="G20" s="1" t="s">
        <v>88</v>
      </c>
    </row>
    <row r="21" spans="1:7" x14ac:dyDescent="0.3">
      <c r="A21" s="14" cm="1">
        <f t="array" ref="A21">ROW()-ROW(Bordtennisklub_d1[#Headers])</f>
        <v>18</v>
      </c>
      <c r="B21" s="6" t="s">
        <v>172</v>
      </c>
      <c r="C21" s="1" t="s">
        <v>172</v>
      </c>
      <c r="D21" s="5">
        <v>2650</v>
      </c>
      <c r="E21" s="1" t="s">
        <v>173</v>
      </c>
      <c r="F21" s="1" t="s">
        <v>170</v>
      </c>
      <c r="G21" s="1" t="s">
        <v>89</v>
      </c>
    </row>
    <row r="22" spans="1:7" x14ac:dyDescent="0.3">
      <c r="A22" s="14" cm="1">
        <f t="array" ref="A22">ROW()-ROW(Bordtennisklub_d1[#Headers])</f>
        <v>19</v>
      </c>
      <c r="B22" s="6" t="s">
        <v>2</v>
      </c>
      <c r="C22" s="1" t="s">
        <v>2</v>
      </c>
      <c r="D22" s="5">
        <v>8362</v>
      </c>
      <c r="E22" s="1" t="s">
        <v>36</v>
      </c>
      <c r="F22" s="1" t="s">
        <v>140</v>
      </c>
      <c r="G22" s="1" t="s">
        <v>86</v>
      </c>
    </row>
    <row r="23" spans="1:7" x14ac:dyDescent="0.3">
      <c r="A23" s="14" cm="1">
        <f t="array" ref="A23">ROW()-ROW(Bordtennisklub_d1[#Headers])</f>
        <v>20</v>
      </c>
      <c r="B23" s="6" t="s">
        <v>676</v>
      </c>
      <c r="C23" s="1" t="s">
        <v>676</v>
      </c>
      <c r="D23" s="5" t="s">
        <v>677</v>
      </c>
      <c r="E23" s="1" t="s">
        <v>678</v>
      </c>
      <c r="F23" s="1" t="s">
        <v>679</v>
      </c>
      <c r="G23" s="1" t="s">
        <v>89</v>
      </c>
    </row>
    <row r="24" spans="1:7" x14ac:dyDescent="0.3">
      <c r="A24" s="14" cm="1">
        <f t="array" ref="A24">ROW()-ROW(Bordtennisklub_d1[#Headers])</f>
        <v>21</v>
      </c>
      <c r="B24" s="6" t="s">
        <v>7</v>
      </c>
      <c r="C24" s="1" t="s">
        <v>7</v>
      </c>
      <c r="D24" s="5">
        <v>2100</v>
      </c>
      <c r="E24" s="1" t="s">
        <v>41</v>
      </c>
      <c r="F24" s="1" t="s">
        <v>141</v>
      </c>
      <c r="G24" s="1" t="s">
        <v>89</v>
      </c>
    </row>
    <row r="25" spans="1:7" x14ac:dyDescent="0.3">
      <c r="A25" s="14" cm="1">
        <f t="array" ref="A25">ROW()-ROW(Bordtennisklub_d1[#Headers])</f>
        <v>22</v>
      </c>
      <c r="B25" s="6" t="s">
        <v>123</v>
      </c>
      <c r="C25" s="1" t="s">
        <v>123</v>
      </c>
      <c r="D25" s="5">
        <v>5800</v>
      </c>
      <c r="E25" s="1" t="s">
        <v>124</v>
      </c>
      <c r="F25" s="1" t="s">
        <v>142</v>
      </c>
      <c r="G25" s="1" t="s">
        <v>87</v>
      </c>
    </row>
    <row r="26" spans="1:7" x14ac:dyDescent="0.3">
      <c r="A26" s="14" cm="1">
        <f t="array" ref="A26">ROW()-ROW(Bordtennisklub_d1[#Headers])</f>
        <v>23</v>
      </c>
      <c r="B26" s="6" t="s">
        <v>157</v>
      </c>
      <c r="C26" s="1" t="s">
        <v>157</v>
      </c>
      <c r="D26" s="5">
        <v>4684</v>
      </c>
      <c r="E26" s="1" t="s">
        <v>158</v>
      </c>
      <c r="F26" s="1" t="s">
        <v>156</v>
      </c>
      <c r="G26" s="1" t="s">
        <v>88</v>
      </c>
    </row>
    <row r="27" spans="1:7" x14ac:dyDescent="0.3">
      <c r="A27" s="14" cm="1">
        <f t="array" ref="A27">ROW()-ROW(Bordtennisklub_d1[#Headers])</f>
        <v>24</v>
      </c>
      <c r="B27" s="6" t="s">
        <v>43</v>
      </c>
      <c r="C27" s="1" t="s">
        <v>43</v>
      </c>
      <c r="D27" s="5">
        <v>5000</v>
      </c>
      <c r="E27" s="1" t="s">
        <v>42</v>
      </c>
      <c r="F27" s="1" t="s">
        <v>153</v>
      </c>
      <c r="G27" s="1" t="s">
        <v>87</v>
      </c>
    </row>
    <row r="28" spans="1:7" x14ac:dyDescent="0.3">
      <c r="A28" s="14" cm="1">
        <f t="array" ref="A28">ROW()-ROW(Bordtennisklub_d1[#Headers])</f>
        <v>25</v>
      </c>
      <c r="B28" s="6" t="s">
        <v>401</v>
      </c>
      <c r="C28" s="1" t="s">
        <v>401</v>
      </c>
      <c r="D28" s="5">
        <v>6760</v>
      </c>
      <c r="E28" s="1" t="s">
        <v>402</v>
      </c>
      <c r="F28" s="1" t="s">
        <v>403</v>
      </c>
      <c r="G28" s="1" t="s">
        <v>87</v>
      </c>
    </row>
    <row r="29" spans="1:7" x14ac:dyDescent="0.3">
      <c r="A29" s="14" cm="1">
        <f t="array" ref="A29">ROW()-ROW(Bordtennisklub_d1[#Headers])</f>
        <v>26</v>
      </c>
      <c r="B29" s="6" t="s">
        <v>3</v>
      </c>
      <c r="C29" s="1" t="s">
        <v>3</v>
      </c>
      <c r="D29" s="5">
        <v>6950</v>
      </c>
      <c r="E29" s="1" t="s">
        <v>3</v>
      </c>
      <c r="F29" s="1" t="s">
        <v>143</v>
      </c>
      <c r="G29" s="1" t="s">
        <v>86</v>
      </c>
    </row>
    <row r="30" spans="1:7" x14ac:dyDescent="0.3">
      <c r="A30" s="14" cm="1">
        <f t="array" ref="A30">ROW()-ROW(Bordtennisklub_d1[#Headers])</f>
        <v>27</v>
      </c>
      <c r="B30" s="6" t="s">
        <v>318</v>
      </c>
      <c r="C30" s="1" t="s">
        <v>318</v>
      </c>
      <c r="D30" s="5">
        <v>4000</v>
      </c>
      <c r="E30" s="1" t="s">
        <v>154</v>
      </c>
      <c r="F30" s="1" t="s">
        <v>155</v>
      </c>
      <c r="G30" s="1" t="s">
        <v>88</v>
      </c>
    </row>
    <row r="31" spans="1:7" x14ac:dyDescent="0.3">
      <c r="A31" s="14" cm="1">
        <f t="array" ref="A31">ROW()-ROW(Bordtennisklub_d1[#Headers])</f>
        <v>28</v>
      </c>
      <c r="B31" s="6" t="s">
        <v>4</v>
      </c>
      <c r="C31" s="1" t="s">
        <v>4</v>
      </c>
      <c r="D31" s="5">
        <v>8200</v>
      </c>
      <c r="E31" s="1" t="s">
        <v>44</v>
      </c>
      <c r="F31" s="1" t="s">
        <v>185</v>
      </c>
      <c r="G31" s="1" t="s">
        <v>86</v>
      </c>
    </row>
    <row r="32" spans="1:7" x14ac:dyDescent="0.3">
      <c r="A32" s="14" cm="1">
        <f t="array" ref="A32">ROW()-ROW(Bordtennisklub_d1[#Headers])</f>
        <v>29</v>
      </c>
      <c r="B32" s="6" t="s">
        <v>32</v>
      </c>
      <c r="C32" s="1" t="s">
        <v>32</v>
      </c>
      <c r="D32" s="5">
        <v>8600</v>
      </c>
      <c r="E32" s="1" t="s">
        <v>37</v>
      </c>
      <c r="F32" s="1" t="s">
        <v>144</v>
      </c>
      <c r="G32" s="1" t="s">
        <v>86</v>
      </c>
    </row>
    <row r="33" spans="1:7" x14ac:dyDescent="0.3">
      <c r="A33" s="14" cm="1">
        <f t="array" ref="A33">ROW()-ROW(Bordtennisklub_d1[#Headers])</f>
        <v>30</v>
      </c>
      <c r="B33" s="6" t="s">
        <v>5</v>
      </c>
      <c r="C33" s="1" t="s">
        <v>5</v>
      </c>
      <c r="D33" s="5">
        <v>8000</v>
      </c>
      <c r="E33" s="1" t="s">
        <v>45</v>
      </c>
      <c r="F33" s="1" t="s">
        <v>145</v>
      </c>
      <c r="G33" s="1" t="s">
        <v>86</v>
      </c>
    </row>
    <row r="34" spans="1:7" x14ac:dyDescent="0.3">
      <c r="A34" s="14" cm="1">
        <f t="array" ref="A34">ROW()-ROW(Bordtennisklub_d1[#Headers])</f>
        <v>31</v>
      </c>
      <c r="B34" s="6" t="s">
        <v>0</v>
      </c>
      <c r="C34" s="1" t="s">
        <v>0</v>
      </c>
      <c r="D34" s="5">
        <v>7700</v>
      </c>
      <c r="E34" s="1" t="s">
        <v>46</v>
      </c>
      <c r="F34" s="1" t="s">
        <v>146</v>
      </c>
      <c r="G34" s="1" t="s">
        <v>85</v>
      </c>
    </row>
    <row r="35" spans="1:7" x14ac:dyDescent="0.3">
      <c r="A35" s="14" cm="1">
        <f t="array" ref="A35">ROW()-ROW(Bordtennisklub_d1[#Headers])</f>
        <v>32</v>
      </c>
      <c r="B35" s="6" t="s">
        <v>339</v>
      </c>
      <c r="C35" s="1" t="s">
        <v>339</v>
      </c>
      <c r="D35" s="5">
        <v>7470</v>
      </c>
      <c r="E35" s="1" t="s">
        <v>340</v>
      </c>
      <c r="F35" s="1" t="s">
        <v>341</v>
      </c>
      <c r="G35" s="1" t="s">
        <v>86</v>
      </c>
    </row>
    <row r="36" spans="1:7" x14ac:dyDescent="0.3">
      <c r="A36" s="14" cm="1">
        <f t="array" ref="A36">ROW()-ROW(Bordtennisklub_d1[#Headers])</f>
        <v>33</v>
      </c>
      <c r="B36" s="6" t="s">
        <v>226</v>
      </c>
      <c r="C36" s="1" t="s">
        <v>226</v>
      </c>
      <c r="D36" s="5">
        <v>8850</v>
      </c>
      <c r="E36" s="1" t="s">
        <v>227</v>
      </c>
      <c r="F36" s="1" t="s">
        <v>228</v>
      </c>
      <c r="G36" s="1" t="s">
        <v>86</v>
      </c>
    </row>
    <row r="37" spans="1:7" x14ac:dyDescent="0.3">
      <c r="A37" s="14" cm="1">
        <f t="array" ref="A37">ROW()-ROW(Bordtennisklub_d1[#Headers])</f>
        <v>34</v>
      </c>
      <c r="B37" s="6" t="s">
        <v>195</v>
      </c>
      <c r="C37" s="1" t="s">
        <v>195</v>
      </c>
      <c r="D37" s="5">
        <v>5230</v>
      </c>
      <c r="E37" s="1" t="s">
        <v>164</v>
      </c>
      <c r="F37" s="1" t="s">
        <v>165</v>
      </c>
      <c r="G37" s="1" t="s">
        <v>87</v>
      </c>
    </row>
    <row r="38" spans="1:7" x14ac:dyDescent="0.3">
      <c r="A38" s="14" cm="1">
        <f t="array" ref="A38">ROW()-ROW(Bordtennisklub_d1[#Headers])</f>
        <v>35</v>
      </c>
      <c r="B38" s="6" t="s">
        <v>384</v>
      </c>
      <c r="C38" s="1" t="s">
        <v>384</v>
      </c>
      <c r="D38" s="5">
        <v>6800</v>
      </c>
      <c r="E38" s="1" t="s">
        <v>385</v>
      </c>
      <c r="F38" s="1" t="s">
        <v>386</v>
      </c>
      <c r="G38" s="1" t="s">
        <v>87</v>
      </c>
    </row>
    <row r="39" spans="1:7" x14ac:dyDescent="0.3">
      <c r="A39" s="14" cm="1">
        <f t="array" ref="A39">ROW()-ROW(Bordtennisklub_d1[#Headers])</f>
        <v>36</v>
      </c>
      <c r="B39" s="6" t="s">
        <v>102</v>
      </c>
      <c r="C39" s="1" t="s">
        <v>102</v>
      </c>
      <c r="D39" s="5">
        <v>7100</v>
      </c>
      <c r="E39" s="1" t="s">
        <v>103</v>
      </c>
      <c r="F39" s="1" t="s">
        <v>147</v>
      </c>
      <c r="G39" s="1" t="s">
        <v>87</v>
      </c>
    </row>
    <row r="40" spans="1:7" x14ac:dyDescent="0.3">
      <c r="A40" s="14" cm="1">
        <f t="array" ref="A40">ROW()-ROW(Bordtennisklub_d1[#Headers])</f>
        <v>37</v>
      </c>
      <c r="B40" s="6" t="s">
        <v>250</v>
      </c>
      <c r="C40" s="1" t="s">
        <v>250</v>
      </c>
      <c r="D40" s="5">
        <v>8800</v>
      </c>
      <c r="E40" s="1" t="s">
        <v>251</v>
      </c>
      <c r="F40" s="1" t="s">
        <v>252</v>
      </c>
      <c r="G40" s="1" t="s">
        <v>86</v>
      </c>
    </row>
    <row r="41" spans="1:7" x14ac:dyDescent="0.3">
      <c r="A41" s="14" cm="1">
        <f t="array" ref="A41">ROW()-ROW(Bordtennisklub_d1[#Headers])</f>
        <v>38</v>
      </c>
      <c r="B41" s="6" t="s">
        <v>161</v>
      </c>
      <c r="C41" s="1" t="s">
        <v>161</v>
      </c>
      <c r="D41" s="5">
        <v>2830</v>
      </c>
      <c r="E41" s="1" t="s">
        <v>162</v>
      </c>
      <c r="F41" s="1" t="s">
        <v>163</v>
      </c>
      <c r="G41" s="1" t="s">
        <v>89</v>
      </c>
    </row>
    <row r="42" spans="1:7" x14ac:dyDescent="0.3">
      <c r="A42" s="14" cm="1">
        <f t="array" ref="A42">ROW()-ROW(Bordtennisklub_d1[#Headers])</f>
        <v>39</v>
      </c>
      <c r="B42" s="6" t="s">
        <v>319</v>
      </c>
      <c r="C42" s="1" t="s">
        <v>319</v>
      </c>
      <c r="D42" s="5">
        <v>8210</v>
      </c>
      <c r="E42" s="1" t="s">
        <v>320</v>
      </c>
      <c r="F42" s="1" t="s">
        <v>321</v>
      </c>
      <c r="G42" s="1" t="s">
        <v>86</v>
      </c>
    </row>
    <row r="43" spans="1:7" x14ac:dyDescent="0.3">
      <c r="A43" s="14" cm="1">
        <f t="array" ref="A43">ROW()-ROW(Bordtennisklub_d1[#Headers])</f>
        <v>40</v>
      </c>
      <c r="B43" s="6" t="s">
        <v>55</v>
      </c>
      <c r="C43" s="1" t="s">
        <v>55</v>
      </c>
      <c r="D43" s="5" t="s">
        <v>556</v>
      </c>
      <c r="E43" s="1" t="s">
        <v>57</v>
      </c>
      <c r="F43" s="1" t="s">
        <v>194</v>
      </c>
      <c r="G43" s="1" t="s">
        <v>84</v>
      </c>
    </row>
    <row r="44" spans="1:7" x14ac:dyDescent="0.3">
      <c r="A44" s="14" cm="1">
        <f t="array" ref="A44">ROW()-ROW(Bordtennisklub_d1[#Headers])</f>
        <v>41</v>
      </c>
      <c r="B44" s="6" t="s">
        <v>354</v>
      </c>
      <c r="C44" s="1" t="s">
        <v>354</v>
      </c>
      <c r="D44" s="5" t="s">
        <v>557</v>
      </c>
      <c r="E44" s="1" t="s">
        <v>57</v>
      </c>
      <c r="F44" s="1" t="s">
        <v>194</v>
      </c>
      <c r="G44" s="1" t="s">
        <v>84</v>
      </c>
    </row>
  </sheetData>
  <mergeCells count="2">
    <mergeCell ref="A1:G1"/>
    <mergeCell ref="A2:G2"/>
  </mergeCells>
  <dataValidations count="2">
    <dataValidation operator="greaterThanOrEqual" allowBlank="1" showInputMessage="1" showErrorMessage="1" sqref="D4:D44" xr:uid="{D4003BAB-F351-4161-BD4F-5CF9670F22C2}"/>
    <dataValidation type="list" allowBlank="1" showInputMessage="1" showErrorMessage="1" sqref="G4:G44" xr:uid="{B4EC9815-6CED-474C-83D7-E91540DBA82A}">
      <formula1>tbl_Region_d2</formula1>
    </dataValidation>
  </dataValidations>
  <hyperlinks>
    <hyperlink ref="F23" r:id="rId1" xr:uid="{231483B3-F93E-4A97-816D-B604F5BB31B1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8D6B-8CB6-44B2-A32A-DADA44DD51F0}">
  <sheetPr>
    <tabColor theme="9" tint="0.79998168889431442"/>
  </sheetPr>
  <dimension ref="A1:F10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7.77734375" bestFit="1" customWidth="1"/>
    <col min="2" max="2" width="24.6640625" bestFit="1" customWidth="1"/>
    <col min="3" max="3" width="26" bestFit="1" customWidth="1"/>
    <col min="4" max="4" width="15.6640625" bestFit="1" customWidth="1"/>
    <col min="5" max="5" width="12.88671875" bestFit="1" customWidth="1"/>
    <col min="6" max="6" width="42" bestFit="1" customWidth="1"/>
  </cols>
  <sheetData>
    <row r="1" spans="1:6" x14ac:dyDescent="0.3">
      <c r="A1" s="25" t="str" cm="1">
        <f t="array" aca="1" ref="A1" ca="1">_xlfn.TEXTAFTER(CELL("filnavn",A1),"]")</f>
        <v>🛖 Dim2_KlubLandsdel</v>
      </c>
      <c r="B1" s="25"/>
      <c r="C1" s="25"/>
      <c r="D1" s="25"/>
      <c r="E1" s="25"/>
      <c r="F1" s="25"/>
    </row>
    <row r="2" spans="1:6" x14ac:dyDescent="0.3">
      <c r="A2" s="26" t="str" cm="1">
        <f t="array" ref="A2">TEXT(COLUMNS(Landsdel_d2[]),"#.##0")&amp;" · "&amp;TEXT(ROWS(Landsdel_d2[]),"#.##0")&amp;" = "&amp;TEXT(SUMPRODUCT(COLUMNS(Landsdel_d2[]),ROWS(Landsdel_d2[])),"#.##0")
&amp;" ("&amp;IF(AND(COUNTIFS(Landsdel_d2[KlubLandsdelPostnrMin_RD],Landsdel_d2[KlubLandsdelPostnrMin_RD],Landsdel_d2[KlubLandsdelPostnrMaks_RD],Landsdel_d2[KlubLandsdelPostnrMaks_RD])&lt;2),"✓","X")&amp;")"</f>
        <v>6 · 7 = 42 (✓)</v>
      </c>
      <c r="B2" s="26"/>
      <c r="C2" s="26"/>
      <c r="D2" s="26"/>
      <c r="E2" s="26"/>
      <c r="F2" s="26"/>
    </row>
    <row r="3" spans="1:6" x14ac:dyDescent="0.3">
      <c r="A3" s="4" t="s">
        <v>643</v>
      </c>
      <c r="B3" s="3" t="s">
        <v>710</v>
      </c>
      <c r="C3" s="3" t="s">
        <v>711</v>
      </c>
      <c r="D3" s="6" t="s">
        <v>644</v>
      </c>
      <c r="E3" s="6" t="s">
        <v>645</v>
      </c>
      <c r="F3" t="s">
        <v>646</v>
      </c>
    </row>
    <row r="4" spans="1:6" x14ac:dyDescent="0.3">
      <c r="A4" s="8" cm="1">
        <f t="array" ref="A4">ROW()-ROW(Landsdel_d2[#Headers])</f>
        <v>1</v>
      </c>
      <c r="B4" s="23">
        <v>6000</v>
      </c>
      <c r="C4" s="23">
        <v>9999</v>
      </c>
      <c r="D4" s="1" t="s">
        <v>29</v>
      </c>
      <c r="E4" s="1" t="s">
        <v>503</v>
      </c>
      <c r="F4" s="1" t="s">
        <v>500</v>
      </c>
    </row>
    <row r="5" spans="1:6" x14ac:dyDescent="0.3">
      <c r="A5" s="8" cm="1">
        <f t="array" ref="A5">ROW()-ROW(Landsdel_d2[#Headers])</f>
        <v>2</v>
      </c>
      <c r="B5" s="23">
        <v>5000</v>
      </c>
      <c r="C5" s="23">
        <v>5999</v>
      </c>
      <c r="D5" s="1" t="s">
        <v>30</v>
      </c>
      <c r="E5" s="1" t="s">
        <v>503</v>
      </c>
      <c r="F5" s="1" t="s">
        <v>500</v>
      </c>
    </row>
    <row r="6" spans="1:6" x14ac:dyDescent="0.3">
      <c r="A6" s="8" cm="1">
        <f t="array" ref="A6">ROW()-ROW(Landsdel_d2[#Headers])</f>
        <v>3</v>
      </c>
      <c r="B6" s="23" t="s">
        <v>558</v>
      </c>
      <c r="C6" s="23">
        <v>3699</v>
      </c>
      <c r="D6" s="1" t="s">
        <v>31</v>
      </c>
      <c r="E6" s="1" t="s">
        <v>503</v>
      </c>
      <c r="F6" s="1" t="s">
        <v>500</v>
      </c>
    </row>
    <row r="7" spans="1:6" x14ac:dyDescent="0.3">
      <c r="A7" s="8" cm="1">
        <f t="array" ref="A7">ROW()-ROW(Landsdel_d2[#Headers])</f>
        <v>4</v>
      </c>
      <c r="B7" s="23">
        <v>3800</v>
      </c>
      <c r="C7" s="23">
        <v>4999</v>
      </c>
      <c r="D7" s="1" t="s">
        <v>31</v>
      </c>
      <c r="E7" s="1" t="s">
        <v>503</v>
      </c>
      <c r="F7" s="1" t="s">
        <v>500</v>
      </c>
    </row>
    <row r="8" spans="1:6" x14ac:dyDescent="0.3">
      <c r="A8" s="8" cm="1">
        <f t="array" ref="A8">ROW()-ROW(Landsdel_d2[#Headers])</f>
        <v>5</v>
      </c>
      <c r="B8" s="23">
        <v>3700</v>
      </c>
      <c r="C8" s="23">
        <v>3799</v>
      </c>
      <c r="D8" s="1" t="s">
        <v>83</v>
      </c>
      <c r="E8" s="1" t="s">
        <v>503</v>
      </c>
      <c r="F8" s="1" t="s">
        <v>500</v>
      </c>
    </row>
    <row r="9" spans="1:6" x14ac:dyDescent="0.3">
      <c r="A9" s="8" cm="1">
        <f t="array" ref="A9">ROW()-ROW(Landsdel_d2[#Headers])</f>
        <v>6</v>
      </c>
      <c r="B9" s="23" t="s">
        <v>556</v>
      </c>
      <c r="C9" s="23" t="s">
        <v>556</v>
      </c>
      <c r="D9" s="1" t="s">
        <v>56</v>
      </c>
      <c r="E9" s="1" t="s">
        <v>505</v>
      </c>
      <c r="F9" s="1" t="s">
        <v>501</v>
      </c>
    </row>
    <row r="10" spans="1:6" x14ac:dyDescent="0.3">
      <c r="A10" s="8" cm="1">
        <f t="array" ref="A10">ROW()-ROW(Landsdel_d2[#Headers])</f>
        <v>7</v>
      </c>
      <c r="B10" s="23" t="s">
        <v>557</v>
      </c>
      <c r="C10" s="23" t="s">
        <v>557</v>
      </c>
      <c r="D10" s="1" t="s">
        <v>56</v>
      </c>
      <c r="E10" s="1" t="s">
        <v>504</v>
      </c>
      <c r="F10" s="1" t="s">
        <v>502</v>
      </c>
    </row>
  </sheetData>
  <mergeCells count="2">
    <mergeCell ref="A1:F1"/>
    <mergeCell ref="A2:F2"/>
  </mergeCells>
  <dataValidations count="1">
    <dataValidation operator="greaterThanOrEqual" allowBlank="1" showInputMessage="1" showErrorMessage="1" sqref="B4:E10" xr:uid="{D4003BAB-F351-4161-BD4F-5CF9670F22C2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5F8F-9AD7-4061-B970-C51C111A7D4C}">
  <sheetPr>
    <tabColor theme="9" tint="0.79998168889431442"/>
  </sheetPr>
  <dimension ref="A1:C9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6" bestFit="1" customWidth="1"/>
    <col min="2" max="2" width="18.5546875" bestFit="1" customWidth="1"/>
    <col min="3" max="3" width="17.88671875" bestFit="1" customWidth="1"/>
  </cols>
  <sheetData>
    <row r="1" spans="1:3" x14ac:dyDescent="0.3">
      <c r="A1" s="25" t="str" cm="1">
        <f t="array" aca="1" ref="A1" ca="1">_xlfn.TEXTAFTER(CELL("filnavn",A1),"]")</f>
        <v>🛖 Dim2_KlubRegion</v>
      </c>
      <c r="B1" s="25"/>
      <c r="C1" s="25"/>
    </row>
    <row r="2" spans="1:3" x14ac:dyDescent="0.3">
      <c r="A2" s="26" t="str" cm="1">
        <f t="array" ref="A2">TEXT(COLUMNS(Region_d2[]),"#.##0")&amp;" · "&amp;TEXT(ROWS(Region_d2[]),"#.##0")&amp;" = "&amp;TEXT(SUMPRODUCT(COLUMNS(Region_d2[]),ROWS(Region_d2[])),"#.##0")
&amp;" ("&amp;IF(AND(COUNTIF(Region_d2[KlubRegion_ID],Region_d2[KlubRegion_ID])&lt;2),"✓","X")&amp;")"</f>
        <v>3 · 6 = 18 (✓)</v>
      </c>
      <c r="B2" s="26"/>
      <c r="C2" s="26"/>
    </row>
    <row r="3" spans="1:3" x14ac:dyDescent="0.3">
      <c r="A3" s="4" t="s">
        <v>647</v>
      </c>
      <c r="B3" s="6" t="s">
        <v>695</v>
      </c>
      <c r="C3" t="s">
        <v>712</v>
      </c>
    </row>
    <row r="4" spans="1:3" x14ac:dyDescent="0.3">
      <c r="A4" s="8" cm="1">
        <f t="array" ref="A4">ROW()-ROW(Region_d2[#Headers])</f>
        <v>1</v>
      </c>
      <c r="B4" s="6" t="s">
        <v>85</v>
      </c>
      <c r="C4" s="1" t="s">
        <v>85</v>
      </c>
    </row>
    <row r="5" spans="1:3" x14ac:dyDescent="0.3">
      <c r="A5" s="8" cm="1">
        <f t="array" ref="A5">ROW()-ROW(Region_d2[#Headers])</f>
        <v>2</v>
      </c>
      <c r="B5" s="6" t="s">
        <v>86</v>
      </c>
      <c r="C5" s="1" t="s">
        <v>86</v>
      </c>
    </row>
    <row r="6" spans="1:3" x14ac:dyDescent="0.3">
      <c r="A6" s="8" cm="1">
        <f t="array" ref="A6">ROW()-ROW(Region_d2[#Headers])</f>
        <v>3</v>
      </c>
      <c r="B6" s="6" t="s">
        <v>87</v>
      </c>
      <c r="C6" s="1" t="s">
        <v>87</v>
      </c>
    </row>
    <row r="7" spans="1:3" x14ac:dyDescent="0.3">
      <c r="A7" s="8" cm="1">
        <f t="array" ref="A7">ROW()-ROW(Region_d2[#Headers])</f>
        <v>4</v>
      </c>
      <c r="B7" s="6" t="s">
        <v>88</v>
      </c>
      <c r="C7" s="1" t="s">
        <v>88</v>
      </c>
    </row>
    <row r="8" spans="1:3" x14ac:dyDescent="0.3">
      <c r="A8" s="8" cm="1">
        <f t="array" ref="A8">ROW()-ROW(Region_d2[#Headers])</f>
        <v>5</v>
      </c>
      <c r="B8" s="6" t="s">
        <v>89</v>
      </c>
      <c r="C8" s="1" t="s">
        <v>89</v>
      </c>
    </row>
    <row r="9" spans="1:3" x14ac:dyDescent="0.3">
      <c r="A9" s="8" cm="1">
        <f t="array" ref="A9">ROW()-ROW(Region_d2[#Headers])</f>
        <v>6</v>
      </c>
      <c r="B9" s="6" t="s">
        <v>84</v>
      </c>
      <c r="C9" s="1" t="s">
        <v>84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7E05-3781-45AB-AD54-AF27EF3159C9}">
  <sheetPr>
    <tabColor theme="9" tint="0.79998168889431442"/>
  </sheetPr>
  <dimension ref="A1:E5"/>
  <sheetViews>
    <sheetView showGridLines="0"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14.109375" bestFit="1" customWidth="1"/>
    <col min="2" max="2" width="11.44140625" bestFit="1" customWidth="1"/>
    <col min="3" max="3" width="12" customWidth="1"/>
    <col min="4" max="4" width="16.88671875" bestFit="1" customWidth="1"/>
    <col min="5" max="5" width="64.109375" bestFit="1" customWidth="1"/>
  </cols>
  <sheetData>
    <row r="1" spans="1:5" x14ac:dyDescent="0.3">
      <c r="A1" s="25" t="str" cm="1">
        <f t="array" aca="1" ref="A1" ca="1">_xlfn.TEXTAFTER(CELL("filnavn",A1),"]")</f>
        <v>👤 Dim1_DeltKoen</v>
      </c>
      <c r="B1" s="25"/>
      <c r="C1" s="25"/>
      <c r="D1" s="25"/>
      <c r="E1" s="25"/>
    </row>
    <row r="2" spans="1:5" x14ac:dyDescent="0.3">
      <c r="A2" s="26" t="str" cm="1">
        <f t="array" ref="A2">TEXT(COLUMNS(Køn_d1[]),"#.##0")&amp;" · "&amp;TEXT(ROWS(Køn_d1[]),"#.##0")&amp;" = "&amp;TEXT(SUMPRODUCT(COLUMNS(Køn_d1[]),ROWS(Køn_d1[])),"#.##0")
&amp;" ("&amp;IF(AND(COUNTIF(Køn_d1[DeltKoen_ID],Køn_d1[DeltKoen_ID])&lt;2),"✓","X")&amp;")"</f>
        <v>5 · 2 = 10 (✓)</v>
      </c>
      <c r="B2" s="26"/>
      <c r="C2" s="26"/>
      <c r="D2" s="26"/>
      <c r="E2" s="26"/>
    </row>
    <row r="3" spans="1:5" x14ac:dyDescent="0.3">
      <c r="A3" s="4" t="s">
        <v>648</v>
      </c>
      <c r="B3" s="6" t="s">
        <v>684</v>
      </c>
      <c r="C3" s="6" t="s">
        <v>713</v>
      </c>
      <c r="D3" t="s">
        <v>649</v>
      </c>
      <c r="E3" t="s">
        <v>650</v>
      </c>
    </row>
    <row r="4" spans="1:5" x14ac:dyDescent="0.3">
      <c r="A4" s="8" cm="1">
        <f t="array" ref="A4">ROW()-ROW(Køn_d1[#Headers])</f>
        <v>1</v>
      </c>
      <c r="B4" s="6" t="s">
        <v>456</v>
      </c>
      <c r="C4" s="1" t="s">
        <v>456</v>
      </c>
      <c r="D4" s="1" t="s">
        <v>457</v>
      </c>
      <c r="E4" s="1" t="s">
        <v>512</v>
      </c>
    </row>
    <row r="5" spans="1:5" x14ac:dyDescent="0.3">
      <c r="A5" s="8" cm="1">
        <f t="array" ref="A5">ROW()-ROW(Køn_d1[#Headers])</f>
        <v>2</v>
      </c>
      <c r="B5" s="6" t="s">
        <v>458</v>
      </c>
      <c r="C5" s="1" t="s">
        <v>458</v>
      </c>
      <c r="D5" s="1" t="s">
        <v>459</v>
      </c>
      <c r="E5" s="1" t="s">
        <v>513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C209-5159-4E3A-9289-845AAF0B76B3}">
  <sheetPr>
    <tabColor theme="9" tint="0.79998168889431442"/>
  </sheetPr>
  <dimension ref="A1:C5"/>
  <sheetViews>
    <sheetView showGridLines="0" workbookViewId="0">
      <pane ySplit="3" topLeftCell="A4" activePane="bottomLeft" state="frozen"/>
      <selection pane="bottomLeft" sqref="A1:C1"/>
    </sheetView>
  </sheetViews>
  <sheetFormatPr defaultRowHeight="14.4" x14ac:dyDescent="0.3"/>
  <cols>
    <col min="1" max="1" width="15.77734375" bestFit="1" customWidth="1"/>
    <col min="2" max="2" width="13.21875" bestFit="1" customWidth="1"/>
    <col min="3" max="3" width="13.77734375" bestFit="1" customWidth="1"/>
  </cols>
  <sheetData>
    <row r="1" spans="1:3" x14ac:dyDescent="0.3">
      <c r="A1" s="25" t="str" cm="1">
        <f t="array" aca="1" ref="A1" ca="1">_xlfn.TEXTAFTER(CELL("filnavn",A1),"]")</f>
        <v>💪 Dim1_DeltSlutspil</v>
      </c>
      <c r="B1" s="25"/>
      <c r="C1" s="25"/>
    </row>
    <row r="2" spans="1:3" x14ac:dyDescent="0.3">
      <c r="A2" s="26" t="str" cm="1">
        <f t="array" ref="A2">TEXT(COLUMNS(Slutspil_d1[]),"#.##0")&amp;" · "&amp;TEXT(ROWS(Slutspil_d1[]),"#.##0")&amp;" = "&amp;TEXT(SUMPRODUCT(COLUMNS(Slutspil_d1[]),ROWS(Slutspil_d1[])),"#.##0")
&amp;" ("&amp;IF(AND(COUNTIF(Slutspil_d1[DeltSlutspil_ID],Slutspil_d1[DeltSlutspil_ID])&lt;2),"✓","X")&amp;")"</f>
        <v>3 · 2 = 6 (✓)</v>
      </c>
      <c r="B2" s="26"/>
      <c r="C2" s="26"/>
    </row>
    <row r="3" spans="1:3" x14ac:dyDescent="0.3">
      <c r="A3" s="4" t="s">
        <v>651</v>
      </c>
      <c r="B3" s="6" t="s">
        <v>687</v>
      </c>
      <c r="C3" t="s">
        <v>714</v>
      </c>
    </row>
    <row r="4" spans="1:3" x14ac:dyDescent="0.3">
      <c r="A4" s="8" cm="1">
        <f t="array" ref="A4">ROW()-ROW(Slutspil_d1[#Headers])</f>
        <v>1</v>
      </c>
      <c r="B4" s="6" t="s">
        <v>288</v>
      </c>
      <c r="C4" s="1" t="s">
        <v>288</v>
      </c>
    </row>
    <row r="5" spans="1:3" x14ac:dyDescent="0.3">
      <c r="A5" s="8" cm="1">
        <f t="array" ref="A5">ROW()-ROW(Slutspil_d1[#Headers])</f>
        <v>2</v>
      </c>
      <c r="B5" s="6" t="s">
        <v>289</v>
      </c>
      <c r="C5" s="1" t="s">
        <v>289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2D81-50AD-4E91-98CE-7BA7F585A019}">
  <sheetPr>
    <tabColor theme="9" tint="0.79998168889431442"/>
  </sheetPr>
  <dimension ref="A1:C11"/>
  <sheetViews>
    <sheetView showGridLines="0" workbookViewId="0">
      <pane ySplit="3" topLeftCell="A4" activePane="bottomLeft" state="frozen"/>
      <selection pane="bottomLeft" sqref="A1:C1"/>
    </sheetView>
  </sheetViews>
  <sheetFormatPr defaultRowHeight="14.4" x14ac:dyDescent="0.3"/>
  <cols>
    <col min="1" max="1" width="13.21875" bestFit="1" customWidth="1"/>
    <col min="2" max="2" width="10.5546875" bestFit="1" customWidth="1"/>
    <col min="3" max="3" width="11.109375" bestFit="1" customWidth="1"/>
  </cols>
  <sheetData>
    <row r="1" spans="1:3" x14ac:dyDescent="0.3">
      <c r="A1" s="25" t="str" cm="1">
        <f t="array" aca="1" ref="A1" ca="1">_xlfn.TEXTAFTER(CELL("filnavn",A1),"]")</f>
        <v>💪 Dim1_DeltPlacering</v>
      </c>
      <c r="B1" s="25"/>
      <c r="C1" s="25"/>
    </row>
    <row r="2" spans="1:3" x14ac:dyDescent="0.3">
      <c r="A2" s="26" t="str" cm="1">
        <f t="array" ref="A2">TEXT(COLUMNS(Placering_d1[]),"#.##0")&amp;" · "&amp;TEXT(ROWS(Placering_d1[]),"#.##0")&amp;" = "&amp;TEXT(SUMPRODUCT(COLUMNS(Placering_d1[]),ROWS(Placering_d1[])),"#.##0")
&amp;" ("&amp;IF(AND(COUNTIF(Placering_d1[DeltPlac_ID],Placering_d1[DeltPlac_ID])&lt;2),"✓","X")&amp;")"</f>
        <v>3 · 8 = 24 (✓)</v>
      </c>
      <c r="B2" s="26"/>
      <c r="C2" s="26"/>
    </row>
    <row r="3" spans="1:3" x14ac:dyDescent="0.3">
      <c r="A3" s="4" t="s">
        <v>652</v>
      </c>
      <c r="B3" s="6" t="s">
        <v>688</v>
      </c>
      <c r="C3" t="s">
        <v>715</v>
      </c>
    </row>
    <row r="4" spans="1:3" x14ac:dyDescent="0.3">
      <c r="A4" s="8" cm="1">
        <f t="array" ref="A4">ROW()-ROW(Placering_d1[#Headers])</f>
        <v>1</v>
      </c>
      <c r="B4" s="6" t="s">
        <v>310</v>
      </c>
      <c r="C4" s="1" t="s">
        <v>310</v>
      </c>
    </row>
    <row r="5" spans="1:3" x14ac:dyDescent="0.3">
      <c r="A5" s="8" cm="1">
        <f t="array" ref="A5">ROW()-ROW(Placering_d1[#Headers])</f>
        <v>2</v>
      </c>
      <c r="B5" s="6" t="s">
        <v>313</v>
      </c>
      <c r="C5" s="1" t="s">
        <v>313</v>
      </c>
    </row>
    <row r="6" spans="1:3" x14ac:dyDescent="0.3">
      <c r="A6" s="8" cm="1">
        <f t="array" ref="A6">ROW()-ROW(Placering_d1[#Headers])</f>
        <v>3</v>
      </c>
      <c r="B6" s="6" t="s">
        <v>312</v>
      </c>
      <c r="C6" s="1" t="s">
        <v>312</v>
      </c>
    </row>
    <row r="7" spans="1:3" x14ac:dyDescent="0.3">
      <c r="A7" s="8" cm="1">
        <f t="array" ref="A7">ROW()-ROW(Placering_d1[#Headers])</f>
        <v>4</v>
      </c>
      <c r="B7" s="6" t="s">
        <v>311</v>
      </c>
      <c r="C7" s="1" t="s">
        <v>311</v>
      </c>
    </row>
    <row r="8" spans="1:3" x14ac:dyDescent="0.3">
      <c r="A8" s="8" cm="1">
        <f t="array" ref="A8">ROW()-ROW(Placering_d1[#Headers])</f>
        <v>5</v>
      </c>
      <c r="B8" s="6" t="s">
        <v>314</v>
      </c>
      <c r="C8" s="1" t="s">
        <v>314</v>
      </c>
    </row>
    <row r="9" spans="1:3" x14ac:dyDescent="0.3">
      <c r="A9" s="8" cm="1">
        <f t="array" ref="A9">ROW()-ROW(Placering_d1[#Headers])</f>
        <v>6</v>
      </c>
      <c r="B9" s="6" t="s">
        <v>317</v>
      </c>
      <c r="C9" s="1" t="s">
        <v>317</v>
      </c>
    </row>
    <row r="10" spans="1:3" x14ac:dyDescent="0.3">
      <c r="A10" s="8" cm="1">
        <f t="array" ref="A10">ROW()-ROW(Placering_d1[#Headers])</f>
        <v>7</v>
      </c>
      <c r="B10" s="6" t="s">
        <v>315</v>
      </c>
      <c r="C10" s="1" t="s">
        <v>315</v>
      </c>
    </row>
    <row r="11" spans="1:3" x14ac:dyDescent="0.3">
      <c r="A11" s="8" cm="1">
        <f t="array" ref="A11">ROW()-ROW(Placering_d1[#Headers])</f>
        <v>8</v>
      </c>
      <c r="B11" s="6" t="s">
        <v>316</v>
      </c>
      <c r="C11" s="1" t="s">
        <v>316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5715-E105-47D2-B5CB-E5E6648F2133}">
  <sheetPr>
    <tabColor theme="9" tint="0.79998168889431442"/>
  </sheetPr>
  <dimension ref="A1:D5"/>
  <sheetViews>
    <sheetView showGridLines="0"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18" bestFit="1" customWidth="1"/>
    <col min="2" max="2" width="19.33203125" bestFit="1" customWidth="1"/>
    <col min="3" max="3" width="20.5546875" bestFit="1" customWidth="1"/>
    <col min="4" max="4" width="15.88671875" bestFit="1" customWidth="1"/>
  </cols>
  <sheetData>
    <row r="1" spans="1:4" x14ac:dyDescent="0.3">
      <c r="A1" s="25" t="str" cm="1">
        <f t="array" aca="1" ref="A1" ca="1">_xlfn.TEXTAFTER(CELL("filnavn",A1),"]")</f>
        <v>💪 Dim1_DeltRating</v>
      </c>
      <c r="B1" s="25"/>
      <c r="C1" s="25"/>
      <c r="D1" s="25"/>
    </row>
    <row r="2" spans="1:4" x14ac:dyDescent="0.3">
      <c r="A2" s="26" t="str" cm="1">
        <f t="array" ref="A2">TEXT(COLUMNS(Ratinggruppe_d1[]),"#.##0")&amp;" · "&amp;TEXT(ROWS(Ratinggruppe_d1[]),"#.##0")&amp;" = "&amp;TEXT(SUMPRODUCT(COLUMNS(Ratinggruppe_d1[]),ROWS(Ratinggruppe_d1[])),"#.##0")
&amp;" ("&amp;IF(AND(COUNTIFS(Ratinggruppe_d1[DeltRatingKatMin_RD],Ratinggruppe_d1[DeltRatingKatMin_RD],Ratinggruppe_d1[DeltRatingKatMaks_RD],Ratinggruppe_d1[DeltRatingKatMaks_RD])&lt;2),"✓","X")&amp;")"</f>
        <v>4 · 2 = 8 (✓)</v>
      </c>
      <c r="B2" s="26"/>
      <c r="C2" s="26"/>
      <c r="D2" s="26"/>
    </row>
    <row r="3" spans="1:4" x14ac:dyDescent="0.3">
      <c r="A3" s="4" t="s">
        <v>653</v>
      </c>
      <c r="B3" s="3" t="s">
        <v>716</v>
      </c>
      <c r="C3" s="3" t="s">
        <v>717</v>
      </c>
      <c r="D3" s="6" t="s">
        <v>654</v>
      </c>
    </row>
    <row r="4" spans="1:4" x14ac:dyDescent="0.3">
      <c r="A4" s="8" cm="1">
        <f t="array" ref="A4">ROW()-ROW(Ratinggruppe_d1[#Headers])</f>
        <v>1</v>
      </c>
      <c r="B4" s="24">
        <v>2000</v>
      </c>
      <c r="C4" s="24">
        <v>9999</v>
      </c>
      <c r="D4" s="1" t="s">
        <v>489</v>
      </c>
    </row>
    <row r="5" spans="1:4" x14ac:dyDescent="0.3">
      <c r="A5" s="8" cm="1">
        <f t="array" ref="A5">ROW()-ROW(Ratinggruppe_d1[#Headers])</f>
        <v>2</v>
      </c>
      <c r="B5" s="24">
        <v>0</v>
      </c>
      <c r="C5" s="24">
        <v>1999</v>
      </c>
      <c r="D5" s="1" t="s">
        <v>492</v>
      </c>
    </row>
  </sheetData>
  <mergeCells count="2">
    <mergeCell ref="A1:D1"/>
    <mergeCell ref="A2:D2"/>
  </mergeCells>
  <dataValidations count="1">
    <dataValidation operator="greaterThanOrEqual" allowBlank="1" showInputMessage="1" showErrorMessage="1" sqref="B4:D5" xr:uid="{D4003BAB-F351-4161-BD4F-5CF9670F22C2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2F5D-4E13-4C22-ADDB-E68B58CDA162}">
  <sheetPr>
    <tabColor theme="9" tint="0.79998168889431442"/>
  </sheetPr>
  <dimension ref="A1:D6"/>
  <sheetViews>
    <sheetView showGridLines="0"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17" bestFit="1" customWidth="1"/>
    <col min="2" max="2" width="18.44140625" bestFit="1" customWidth="1"/>
    <col min="3" max="3" width="19.6640625" bestFit="1" customWidth="1"/>
    <col min="4" max="4" width="15" bestFit="1" customWidth="1"/>
  </cols>
  <sheetData>
    <row r="1" spans="1:4" x14ac:dyDescent="0.3">
      <c r="A1" s="25" t="str" cm="1">
        <f t="array" aca="1" ref="A1" ca="1">_xlfn.TEXTAFTER(CELL("filnavn",A1),"]")</f>
        <v>📅 Dim1_DeltAlderKat</v>
      </c>
      <c r="B1" s="25"/>
      <c r="C1" s="25"/>
      <c r="D1" s="25"/>
    </row>
    <row r="2" spans="1:4" x14ac:dyDescent="0.3">
      <c r="A2" s="26" t="str" cm="1">
        <f t="array" ref="A2">TEXT(COLUMNS(Aldersgruppe_d1[]),"#.##0")&amp;" · "&amp;TEXT(ROWS(Aldersgruppe_d1[]),"#.##0")&amp;" = "&amp;TEXT(SUMPRODUCT(COLUMNS(Aldersgruppe_d1[]),ROWS(Aldersgruppe_d1[])),"#.##0")
&amp;" ("&amp;IF(AND(COUNTIFS(Aldersgruppe_d1[DeltAlderKatMin_RD],Aldersgruppe_d1[DeltAlderKatMin_RD],Aldersgruppe_d1[DeltAlderKatMaks_RD],Aldersgruppe_d1[DeltAlderKatMaks_RD])&lt;2),"✓","X")&amp;")"</f>
        <v>4 · 3 = 12 (✓)</v>
      </c>
      <c r="B2" s="26"/>
      <c r="C2" s="26"/>
      <c r="D2" s="26"/>
    </row>
    <row r="3" spans="1:4" x14ac:dyDescent="0.3">
      <c r="A3" s="4" t="s">
        <v>659</v>
      </c>
      <c r="B3" s="3" t="s">
        <v>718</v>
      </c>
      <c r="C3" s="3" t="s">
        <v>719</v>
      </c>
      <c r="D3" s="6" t="s">
        <v>660</v>
      </c>
    </row>
    <row r="4" spans="1:4" x14ac:dyDescent="0.3">
      <c r="A4" s="8" cm="1">
        <f t="array" ref="A4">ROW()-ROW(Aldersgruppe_d1[#Headers])</f>
        <v>1</v>
      </c>
      <c r="B4" s="23" t="s">
        <v>550</v>
      </c>
      <c r="C4" s="23" t="s">
        <v>551</v>
      </c>
      <c r="D4" s="1" t="s">
        <v>444</v>
      </c>
    </row>
    <row r="5" spans="1:4" x14ac:dyDescent="0.3">
      <c r="A5" s="8" cm="1">
        <f t="array" ref="A5">ROW()-ROW(Aldersgruppe_d1[#Headers])</f>
        <v>2</v>
      </c>
      <c r="B5" s="23" t="s">
        <v>552</v>
      </c>
      <c r="C5" s="23" t="s">
        <v>553</v>
      </c>
      <c r="D5" s="1" t="s">
        <v>487</v>
      </c>
    </row>
    <row r="6" spans="1:4" x14ac:dyDescent="0.3">
      <c r="A6" s="8" cm="1">
        <f t="array" ref="A6">ROW()-ROW(Aldersgruppe_d1[#Headers])</f>
        <v>3</v>
      </c>
      <c r="B6" s="23" t="s">
        <v>554</v>
      </c>
      <c r="C6" s="23" t="s">
        <v>555</v>
      </c>
      <c r="D6" s="1" t="s">
        <v>488</v>
      </c>
    </row>
  </sheetData>
  <mergeCells count="2">
    <mergeCell ref="A1:D1"/>
    <mergeCell ref="A2:D2"/>
  </mergeCells>
  <dataValidations count="1">
    <dataValidation operator="greaterThanOrEqual" allowBlank="1" showInputMessage="1" showErrorMessage="1" sqref="B4:C6" xr:uid="{D4003BAB-F351-4161-BD4F-5CF9670F22C2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D3D1-D4D3-45A8-BC1B-C1EE723500BB}">
  <sheetPr>
    <tabColor theme="9" tint="0.79998168889431442"/>
  </sheetPr>
  <dimension ref="A1:D5"/>
  <sheetViews>
    <sheetView showGridLines="0"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12.44140625" bestFit="1" customWidth="1"/>
    <col min="2" max="2" width="13.33203125" bestFit="1" customWidth="1"/>
    <col min="3" max="3" width="14.5546875" bestFit="1" customWidth="1"/>
    <col min="4" max="4" width="18.6640625" bestFit="1" customWidth="1"/>
  </cols>
  <sheetData>
    <row r="1" spans="1:4" x14ac:dyDescent="0.3">
      <c r="A1" s="25" t="str" cm="1">
        <f t="array" aca="1" ref="A1" ca="1">_xlfn.TEXTAFTER(CELL("filnavn",A1),"]")</f>
        <v>👤 Dim1_DeltKat</v>
      </c>
      <c r="B1" s="25"/>
      <c r="C1" s="25"/>
      <c r="D1" s="25"/>
    </row>
    <row r="2" spans="1:4" x14ac:dyDescent="0.3">
      <c r="A2" s="26" t="str" cm="1">
        <f t="array" ref="A2">TEXT(COLUMNS(Spillertype_d1[]),"#.##0")&amp;" · "&amp;TEXT(ROWS(Spillertype_d1[]),"#.##0")&amp;" = "&amp;TEXT(SUMPRODUCT(COLUMNS(Spillertype_d1[]),ROWS(Spillertype_d1[])),"#.##0")
&amp;" ("&amp;IF(AND(COUNTIFS(Spillertype_d1[DeltKatMin_ID],Spillertype_d1[DeltKatMin_ID],Spillertype_d1[DeltKatMaks_ID],Spillertype_d1[DeltKatMaks_ID])&lt;2),"✓","X")&amp;")"</f>
        <v>4 · 2 = 8 (✓)</v>
      </c>
      <c r="B2" s="26"/>
      <c r="C2" s="26"/>
      <c r="D2" s="26"/>
    </row>
    <row r="3" spans="1:4" x14ac:dyDescent="0.3">
      <c r="A3" s="4" t="s">
        <v>661</v>
      </c>
      <c r="B3" t="s">
        <v>697</v>
      </c>
      <c r="C3" t="s">
        <v>696</v>
      </c>
      <c r="D3" s="6" t="s">
        <v>662</v>
      </c>
    </row>
    <row r="4" spans="1:4" x14ac:dyDescent="0.3">
      <c r="A4" s="8" cm="1">
        <f t="array" ref="A4">ROW()-ROW(Spillertype_d1[#Headers])</f>
        <v>1</v>
      </c>
      <c r="B4" s="23" t="s">
        <v>497</v>
      </c>
      <c r="C4" s="23" t="s">
        <v>499</v>
      </c>
      <c r="D4" s="1" t="s">
        <v>462</v>
      </c>
    </row>
    <row r="5" spans="1:4" x14ac:dyDescent="0.3">
      <c r="A5" s="8" cm="1">
        <f t="array" ref="A5">ROW()-ROW(Spillertype_d1[#Headers])</f>
        <v>2</v>
      </c>
      <c r="B5" s="23" t="s">
        <v>498</v>
      </c>
      <c r="C5" s="23">
        <v>9999</v>
      </c>
      <c r="D5" s="1" t="s">
        <v>461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2808-CE19-42E5-8751-F85B1F8B596A}">
  <sheetPr>
    <tabColor theme="7" tint="0.79998168889431442"/>
  </sheetPr>
  <dimension ref="A1:E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6.5546875" bestFit="1" customWidth="1"/>
    <col min="2" max="2" width="13.33203125" bestFit="1" customWidth="1"/>
    <col min="3" max="3" width="14.5546875" bestFit="1" customWidth="1"/>
    <col min="4" max="4" width="19.44140625" bestFit="1" customWidth="1"/>
    <col min="5" max="5" width="64.44140625" bestFit="1" customWidth="1"/>
  </cols>
  <sheetData>
    <row r="1" spans="1:5" x14ac:dyDescent="0.3">
      <c r="A1" s="25" t="str" cm="1">
        <f t="array" aca="1" ref="A1" ca="1">_xlfn.TEXTAFTER(CELL("filnavn",A1),"]")</f>
        <v>🔃 Dim1_DeltGenKat</v>
      </c>
      <c r="B1" s="25"/>
      <c r="C1" s="25"/>
      <c r="D1" s="25"/>
      <c r="E1" s="25"/>
    </row>
    <row r="2" spans="1:5" x14ac:dyDescent="0.3">
      <c r="A2" s="26" t="str" cm="1">
        <f t="array" ref="A2">TEXT(COLUMNS(Gentilmeldinger_d1[]),"#.##0")&amp;" · "&amp;TEXT(ROWS(Gentilmeldinger_d1[]),"#.##0")&amp;" = "&amp;TEXT(SUMPRODUCT(COLUMNS(Gentilmeldinger_d1[]),ROWS(Gentilmeldinger_d1[])),"#.##0")
&amp;" ("&amp;IF(AND(COUNTIF(Gentilmeldinger_d1[DeltGenKat_ID],Gentilmeldinger_d1[DeltGenKat_ID])&lt;2),"✓","X")&amp;")"</f>
        <v>5 · 3 = 15 (✓)</v>
      </c>
      <c r="B2" s="26"/>
      <c r="C2" s="26"/>
      <c r="D2" s="26"/>
      <c r="E2" s="26"/>
    </row>
    <row r="3" spans="1:5" x14ac:dyDescent="0.3">
      <c r="A3" s="4" t="s">
        <v>720</v>
      </c>
      <c r="B3" s="6" t="s">
        <v>721</v>
      </c>
      <c r="C3" t="s">
        <v>663</v>
      </c>
      <c r="D3" t="s">
        <v>722</v>
      </c>
      <c r="E3" t="s">
        <v>723</v>
      </c>
    </row>
    <row r="4" spans="1:5" x14ac:dyDescent="0.3">
      <c r="A4" s="9" cm="1">
        <f t="array" ref="A4">ROW()-ROW(Gentilmeldinger_d1[#Headers])</f>
        <v>1</v>
      </c>
      <c r="B4" s="6" t="s">
        <v>476</v>
      </c>
      <c r="C4" s="1" t="s">
        <v>476</v>
      </c>
      <c r="D4" s="1" t="s">
        <v>477</v>
      </c>
      <c r="E4" s="1" t="s">
        <v>511</v>
      </c>
    </row>
    <row r="5" spans="1:5" x14ac:dyDescent="0.3">
      <c r="A5" s="9" cm="1">
        <f t="array" ref="A5">ROW()-ROW(Gentilmeldinger_d1[#Headers])</f>
        <v>2</v>
      </c>
      <c r="B5" s="6" t="s">
        <v>478</v>
      </c>
      <c r="C5" s="1" t="s">
        <v>478</v>
      </c>
      <c r="D5" s="1" t="s">
        <v>479</v>
      </c>
      <c r="E5" s="1" t="s">
        <v>510</v>
      </c>
    </row>
    <row r="6" spans="1:5" x14ac:dyDescent="0.3">
      <c r="A6" s="9" cm="1">
        <f t="array" ref="A6">ROW()-ROW(Gentilmeldinger_d1[#Headers])</f>
        <v>3</v>
      </c>
      <c r="B6" s="6" t="s">
        <v>559</v>
      </c>
      <c r="C6" s="1" t="s">
        <v>559</v>
      </c>
      <c r="D6" s="1" t="s">
        <v>475</v>
      </c>
      <c r="E6" s="1" t="s">
        <v>507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23BB-7EF5-473A-89C8-D2D12653DEBC}">
  <sheetPr>
    <tabColor theme="0" tint="-4.9989318521683403E-2"/>
  </sheetPr>
  <dimension ref="A1:B6"/>
  <sheetViews>
    <sheetView showGridLines="0" workbookViewId="0"/>
  </sheetViews>
  <sheetFormatPr defaultRowHeight="14.4" x14ac:dyDescent="0.3"/>
  <cols>
    <col min="1" max="1" width="12.88671875" bestFit="1" customWidth="1"/>
    <col min="2" max="2" width="5.5546875" bestFit="1" customWidth="1"/>
  </cols>
  <sheetData>
    <row r="1" spans="1:2" x14ac:dyDescent="0.3">
      <c r="A1" s="15" t="s">
        <v>9</v>
      </c>
      <c r="B1" s="16" t="s">
        <v>49</v>
      </c>
    </row>
    <row r="2" spans="1:2" x14ac:dyDescent="0.3">
      <c r="A2" s="17" t="s">
        <v>10</v>
      </c>
      <c r="B2" s="12">
        <v>21</v>
      </c>
    </row>
    <row r="3" spans="1:2" x14ac:dyDescent="0.3">
      <c r="A3" s="17" t="s">
        <v>11</v>
      </c>
      <c r="B3" s="12">
        <f>COLUMNS(Fact_Ordre[])+
COLUMNS(Dim2_Event[])+
COLUMNS(Dim1_Billet[])+
COLUMNS(Dim1_OrdreStatus[])+
COLUMNS(Dim3_Event[])+
COLUMNS(Dim2_BilletKat[])+
COLUMNS(Spilformat_d2[])+
COLUMNS(Disciplin_d2[])+
COLUMNS(Række_d2[])+
COLUMNS(Klokkeslætsinterval_d1[])+
COLUMNS(Tilmeldingstype_d1[])+
COLUMNS(Gentilmeldinger_d1[])+
COLUMNS(Bordtennisklub_d1[])+
COLUMNS(Køn_d1[])+
COLUMNS(Slutspil_d1[])+
COLUMNS(Placering_d1[])+
COLUMNS(Region_d2[])+
COLUMNS(Landsdel_d2[])+
COLUMNS(Ratinggruppe_d1[])+
COLUMNS(Aldersgruppe_d1[])+
COLUMNS(Spillertype_d1[])</f>
        <v>125</v>
      </c>
    </row>
    <row r="4" spans="1:2" x14ac:dyDescent="0.3">
      <c r="A4" s="17" t="s">
        <v>12</v>
      </c>
      <c r="B4" s="12">
        <f>ROWS(Fact_Ordre[])+
ROWS(Dim2_Event[])+
ROWS(Dim1_Billet[])+
ROWS(Dim1_OrdreStatus[])+
ROWS(Dim3_Event[])+
ROWS(Dim2_BilletKat[])+
ROWS(Spilformat_d2[])+
ROWS(Disciplin_d2[])+
ROWS(Række_d2[])+
ROWS(Klokkeslætsinterval_d1[])+
ROWS(Tilmeldingstype_d1[])+
ROWS(Gentilmeldinger_d1[])+
ROWS(Bordtennisklub_d1[])+
ROWS(Køn_d1[])+
ROWS(Slutspil_d1[])+
ROWS(Placering_d1[])+
ROWS(Region_d2[])+
ROWS(Landsdel_d2[])+
ROWS(Ratinggruppe_d1[])+
ROWS(Aldersgruppe_d1[])+
ROWS(Spillertype_d1[])</f>
        <v>501</v>
      </c>
    </row>
    <row r="5" spans="1:2" x14ac:dyDescent="0.3">
      <c r="A5" s="17" t="s">
        <v>13</v>
      </c>
      <c r="B5" s="12">
        <f>SUMPRODUCT(COLUMNS(Fact_Ordre[]),ROWS(Fact_Ordre[]))+
SUMPRODUCT(COLUMNS(Dim2_Event[]),ROWS(Dim2_Event[]))+
SUMPRODUCT(COLUMNS(Dim1_Billet[]),ROWS(Dim1_Billet[]))+
SUMPRODUCT(COLUMNS(Dim1_OrdreStatus[]),ROWS(Dim1_OrdreStatus[]))+
SUMPRODUCT(COLUMNS(Dim3_Event[]),ROWS(Dim3_Event[]))+
SUMPRODUCT(COLUMNS(Dim2_BilletKat[]),ROWS(Dim2_BilletKat[]))+
SUMPRODUCT(COLUMNS(Spilformat_d2[]),ROWS(Spilformat_d2[]))+
SUMPRODUCT(COLUMNS(Disciplin_d2[]),ROWS(Disciplin_d2[]))+
SUMPRODUCT(COLUMNS(Række_d2[]),ROWS(Række_d2[]))+
SUMPRODUCT(COLUMNS(Klokkeslætsinterval_d1[]),ROWS(Klokkeslætsinterval_d1[]))+
SUMPRODUCT(COLUMNS(Tilmeldingstype_d1[]),ROWS(Tilmeldingstype_d1[]))+
SUMPRODUCT(COLUMNS(Gentilmeldinger_d1[]),ROWS(Gentilmeldinger_d1[]))+
SUMPRODUCT(COLUMNS(Bordtennisklub_d1[]),ROWS(Bordtennisklub_d1[]))+
SUMPRODUCT(COLUMNS(Køn_d1[]),ROWS(Køn_d1[]))+
SUMPRODUCT(COLUMNS(Slutspil_d1[]),ROWS(Slutspil_d1[]))+
SUMPRODUCT(COLUMNS(Placering_d1[]),ROWS(Placering_d1[]))+
SUMPRODUCT(COLUMNS(Region_d2[]),ROWS(Region_d2[]))+
SUMPRODUCT(COLUMNS(Landsdel_d2[]),ROWS(Landsdel_d2[]))+
SUMPRODUCT(COLUMNS(Ratinggruppe_d1[]),ROWS(Ratinggruppe_d1[]))+
SUMPRODUCT(COLUMNS(Aldersgruppe_d1[]),ROWS(Aldersgruppe_d1[]))+
SUMPRODUCT(COLUMNS(Spillertype_d1[]),ROWS(Spillertype_d1[]))</f>
        <v>5899</v>
      </c>
    </row>
    <row r="6" spans="1:2" x14ac:dyDescent="0.3">
      <c r="A6" s="18" t="s">
        <v>14</v>
      </c>
      <c r="B6" s="13" t="str" cm="1">
        <f t="array" ref="B6">IF(AND(
COUNTIFS(Fact_Ordre[Delt_ID],Fact_Ordre[Delt_ID],Fact_Ordre[Billet_ID],Fact_Ordre[Billet_ID])&lt;2,
EXACT(COUNTA(_xlfn.UNIQUE(Fact_Ordre[Delt_ID]&amp;INDEX(Dim1_Billet[EventAar_ID],MATCH(Fact_Ordre[Billet_ID],Dim1_Billet[Billet_ID],0)),FALSE,FALSE)),COUNTA(_xlfn.UNIQUE(Fact_Ordre[Delt_ID]&amp;Fact_Ordre[DeltNavn_RD]&amp;Fact_Ordre[Klub_ID]&amp;Fact_Ordre[DeltKoen_ID]&amp;INDEX(Dim1_Billet[EventAar_ID],MATCH(Fact_Ordre[Billet_ID],Dim1_Billet[Billet_ID],0)),FALSE,FALSE))),
COUNTIF(Dim2_Event[EventAar_ID],Dim2_Event[EventAar_ID])&lt;2,
COUNTIF(Dim1_Billet[Billet_ID],Dim1_Billet[Billet_ID])&lt;2,
COUNTIF(Dim1_OrdreStatus[OrdreStatusKat_ID],Dim1_OrdreStatus[OrdreStatusKat_ID])&lt;2,
COUNTIF(Dim3_Event[Event_ID],Dim3_Event[Event_ID])&lt;2,
COUNTIF(Dim2_BilletKat[BilletKat_ID],Dim2_BilletKat[BilletKat_ID])&lt;2,
COUNTIF(Spilformat_d2[BilletSpilFormat_ID],Spilformat_d2[BilletSpilFormat_ID])&lt;2,
COUNTIF(Disciplin_d2[BilletDisciplin_ID],Disciplin_d2[BilletDisciplin_ID])&lt;2,
COUNTIF(Række_d2[BilletRaekke_ID],Række_d2[BilletRaekke_ID])&lt;2,
COUNTIFS(Klokkeslætsinterval_d1[OrdreFoersteTidKatMin_RD],Klokkeslætsinterval_d1[OrdreFoersteTidKatMin_RD],Klokkeslætsinterval_d1[OrdreFoersteTidKatMaks_RD],Klokkeslætsinterval_d1[OrdreFoersteTidKatMaks_RD])&lt;2,
COUNTIF(Tilmeldingstype_d1[OrdreKat_ID],Tilmeldingstype_d1[OrdreKat_ID])&lt;2,
COUNTIF(Gentilmeldinger_d1[DeltGenKat_ID],Gentilmeldinger_d1[DeltGenKat_ID])&lt;2,
COUNTIF(Bordtennisklub_d1[Klub_ID],Bordtennisklub_d1[Klub_ID])&lt;2,
COUNTIF(Køn_d1[DeltKoen_ID],Køn_d1[DeltKoen_ID])&lt;2,
COUNTIF(Slutspil_d1[DeltSlutspil_ID],Slutspil_d1[DeltSlutspil_ID])&lt;2,
COUNTIF(Placering_d1[DeltPlac_ID],Placering_d1[DeltPlac_ID])&lt;2,
COUNTIF(Region_d2[KlubRegion_ID],Region_d2[KlubRegion_ID])&lt;2,
COUNTIFS(Landsdel_d2[KlubLandsdelPostnrMin_RD],Landsdel_d2[KlubLandsdelPostnrMin_RD],Landsdel_d2[KlubLandsdelPostnrMaks_RD],Landsdel_d2[KlubLandsdelPostnrMaks_RD])&lt;2,
COUNTIFS(Ratinggruppe_d1[DeltRatingKatMin_RD],Ratinggruppe_d1[DeltRatingKatMin_RD],Ratinggruppe_d1[DeltRatingKatMaks_RD],Ratinggruppe_d1[DeltRatingKatMaks_RD])&lt;2,
COUNTIFS(Aldersgruppe_d1[DeltAlderKatMin_RD],Aldersgruppe_d1[DeltAlderKatMin_RD],Aldersgruppe_d1[DeltAlderKatMaks_RD],Aldersgruppe_d1[DeltAlderKatMaks_RD])&lt;2,
COUNTIFS(Spillertype_d1[DeltKatMin_ID],Spillertype_d1[DeltKatMin_ID],Spillertype_d1[DeltKatMaks_ID],Spillertype_d1[DeltKatMaks_ID])&lt;2),
"✓","X")</f>
        <v>✓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_rels/item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1.xml"/></Relationships>
</file>

<file path=customXml/_rels/item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2.xml"/></Relationships>
</file>

<file path=customXml/_rels/item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3.xml"/></Relationships>
</file>

<file path=customXml/_rels/item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4.xml"/></Relationships>
</file>

<file path=customXml/_rels/item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5.xml"/></Relationships>
</file>

<file path=customXml/_rels/item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6.xml"/></Relationships>
</file>

<file path=customXml/_rels/item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7.xml"/></Relationships>
</file>

<file path=customXml/_rels/item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8.xml"/></Relationships>
</file>

<file path=customXml/_rels/item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9.xml"/></Relationships>
</file>

<file path=customXml/_rels/item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0.xml"/></Relationships>
</file>

<file path=customXml/_rels/item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1.xml"/></Relationships>
</file>

<file path=customXml/_rels/item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2.xml"/></Relationships>
</file>

<file path=customXml/_rels/item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3.xml"/></Relationships>
</file>

<file path=customXml/_rels/item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4.xml"/></Relationships>
</file>

<file path=customXml/_rels/item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5.xml"/></Relationships>
</file>

<file path=customXml/_rels/item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6.xml"/></Relationships>
</file>

<file path=customXml/_rels/item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7.xml"/></Relationships>
</file>

<file path=customXml/_rels/item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8.xml"/></Relationships>
</file>

<file path=customXml/_rels/item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9.xml"/></Relationships>
</file>

<file path=customXml/_rels/item1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0.xml"/></Relationships>
</file>

<file path=customXml/_rels/item10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1.xml"/></Relationships>
</file>

<file path=customXml/_rels/item10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2.xml"/></Relationships>
</file>

<file path=customXml/_rels/item10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3.xml"/></Relationships>
</file>

<file path=customXml/_rels/item10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4.xml"/></Relationships>
</file>

<file path=customXml/_rels/item10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5.xml"/></Relationships>
</file>

<file path=customXml/_rels/item10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6.xml"/></Relationships>
</file>

<file path=customXml/_rels/item10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7.xml"/></Relationships>
</file>

<file path=customXml/_rels/item10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8.xml"/></Relationships>
</file>

<file path=customXml/_rels/item10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9.xml"/></Relationships>
</file>

<file path=customXml/_rels/item1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0.xml"/></Relationships>
</file>

<file path=customXml/_rels/item1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1.xml"/></Relationships>
</file>

<file path=customXml/_rels/item1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2.xml"/></Relationships>
</file>

<file path=customXml/_rels/item1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3.xml"/></Relationships>
</file>

<file path=customXml/_rels/item1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4.xml"/></Relationships>
</file>

<file path=customXml/_rels/item1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5.xml"/></Relationships>
</file>

<file path=customXml/_rels/item1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6.xml"/></Relationships>
</file>

<file path=customXml/_rels/item1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7.xml"/></Relationships>
</file>

<file path=customXml/_rels/item1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8.xml"/></Relationships>
</file>

<file path=customXml/_rels/item1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9.xml"/></Relationships>
</file>

<file path=customXml/_rels/item1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0.xml"/></Relationships>
</file>

<file path=customXml/_rels/item1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1.xml"/></Relationships>
</file>

<file path=customXml/_rels/item1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2.xml"/></Relationships>
</file>

<file path=customXml/_rels/item1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3.xml"/></Relationships>
</file>

<file path=customXml/_rels/item1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4.xml"/></Relationships>
</file>

<file path=customXml/_rels/item1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5.xml"/></Relationships>
</file>

<file path=customXml/_rels/item1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6.xml"/></Relationships>
</file>

<file path=customXml/_rels/item1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7.xml"/></Relationships>
</file>

<file path=customXml/_rels/item1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8.xml"/></Relationships>
</file>

<file path=customXml/_rels/item1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9.xml"/></Relationships>
</file>

<file path=customXml/_rels/item1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0.xml"/></Relationships>
</file>

<file path=customXml/_rels/item1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1.xml"/></Relationships>
</file>

<file path=customXml/_rels/item1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2.xml"/></Relationships>
</file>

<file path=customXml/_rels/item1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3.xml"/></Relationships>
</file>

<file path=customXml/_rels/item1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4.xml"/></Relationships>
</file>

<file path=customXml/_rels/item1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5.xml"/></Relationships>
</file>

<file path=customXml/_rels/item1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6.xml"/></Relationships>
</file>

<file path=customXml/_rels/item1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7.xml"/></Relationships>
</file>

<file path=customXml/_rels/item1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8.xml"/></Relationships>
</file>

<file path=customXml/_rels/item1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9.xml"/></Relationships>
</file>

<file path=customXml/_rels/item1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0.xml"/></Relationships>
</file>

<file path=customXml/_rels/item1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1.xml"/></Relationships>
</file>

<file path=customXml/_rels/item1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2.xml"/></Relationships>
</file>

<file path=customXml/_rels/item1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3.xml"/></Relationships>
</file>

<file path=customXml/_rels/item1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4.xml"/></Relationships>
</file>

<file path=customXml/_rels/item1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5.xml"/></Relationships>
</file>

<file path=customXml/_rels/item1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6.xml"/></Relationships>
</file>

<file path=customXml/_rels/item1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7.xml"/></Relationships>
</file>

<file path=customXml/_rels/item1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8.xml"/></Relationships>
</file>

<file path=customXml/_rels/item1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9.xml"/></Relationships>
</file>

<file path=customXml/_rels/item1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0.xml"/></Relationships>
</file>

<file path=customXml/_rels/item1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1.xml"/></Relationships>
</file>

<file path=customXml/_rels/item1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2.xml"/></Relationships>
</file>

<file path=customXml/_rels/item1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3.xml"/></Relationships>
</file>

<file path=customXml/_rels/item1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4.xml"/></Relationships>
</file>

<file path=customXml/_rels/item1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5.xml"/></Relationships>
</file>

<file path=customXml/_rels/item1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6.xml"/></Relationships>
</file>

<file path=customXml/_rels/item1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7.xml"/></Relationships>
</file>

<file path=customXml/_rels/item1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8.xml"/></Relationships>
</file>

<file path=customXml/_rels/item1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9.xml"/></Relationships>
</file>

<file path=customXml/_rels/item1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0.xml"/></Relationships>
</file>

<file path=customXml/_rels/item1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1.xml"/></Relationships>
</file>

<file path=customXml/_rels/item1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2.xml"/></Relationships>
</file>

<file path=customXml/_rels/item1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3.xml"/></Relationships>
</file>

<file path=customXml/_rels/item1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4.xml"/></Relationships>
</file>

<file path=customXml/_rels/item1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5.xml"/></Relationships>
</file>

<file path=customXml/_rels/item1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6.xml"/></Relationships>
</file>

<file path=customXml/_rels/item1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7.xml"/></Relationships>
</file>

<file path=customXml/_rels/item1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8.xml"/></Relationships>
</file>

<file path=customXml/_rels/item1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9.xml"/></Relationships>
</file>

<file path=customXml/_rels/item1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0.xml"/></Relationships>
</file>

<file path=customXml/_rels/item1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1.xml"/></Relationships>
</file>

<file path=customXml/_rels/item1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2.xml"/></Relationships>
</file>

<file path=customXml/_rels/item1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3.xml"/></Relationships>
</file>

<file path=customXml/_rels/item1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4.xml"/></Relationships>
</file>

<file path=customXml/_rels/item1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5.xml"/></Relationships>
</file>

<file path=customXml/_rels/item1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6.xml"/></Relationships>
</file>

<file path=customXml/_rels/item1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7.xml"/></Relationships>
</file>

<file path=customXml/_rels/item1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8.xml"/></Relationships>
</file>

<file path=customXml/_rels/item1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9.xml"/></Relationships>
</file>

<file path=customXml/_rels/item1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0.xml"/></Relationships>
</file>

<file path=customXml/_rels/item1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1.xml"/></Relationships>
</file>

<file path=customXml/_rels/item1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2.xml"/></Relationships>
</file>

<file path=customXml/_rels/item1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3.xml"/></Relationships>
</file>

<file path=customXml/_rels/item1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4.xml"/></Relationships>
</file>

<file path=customXml/_rels/item1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5.xml"/></Relationships>
</file>

<file path=customXml/_rels/item1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6.xml"/></Relationships>
</file>

<file path=customXml/_rels/item1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7.xml"/></Relationships>
</file>

<file path=customXml/_rels/item1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8.xml"/></Relationships>
</file>

<file path=customXml/_rels/item1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9.xml"/></Relationships>
</file>

<file path=customXml/_rels/item1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0.xml"/></Relationships>
</file>

<file path=customXml/_rels/item1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1.xml"/></Relationships>
</file>

<file path=customXml/_rels/item1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2.xml"/></Relationships>
</file>

<file path=customXml/_rels/item1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3.xml"/></Relationships>
</file>

<file path=customXml/_rels/item1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4.xml"/></Relationships>
</file>

<file path=customXml/_rels/item1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5.xml"/></Relationships>
</file>

<file path=customXml/_rels/item1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6.xml"/></Relationships>
</file>

<file path=customXml/_rels/item1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7.xml"/></Relationships>
</file>

<file path=customXml/_rels/item1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8.xml"/></Relationships>
</file>

<file path=customXml/_rels/item1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9.xml"/></Relationships>
</file>

<file path=customXml/_rels/item2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0.xml"/></Relationships>
</file>

<file path=customXml/_rels/item20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1.xml"/></Relationships>
</file>

<file path=customXml/_rels/item20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2.xml"/></Relationships>
</file>

<file path=customXml/_rels/item20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3.xml"/></Relationships>
</file>

<file path=customXml/_rels/item20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4.xml"/></Relationships>
</file>

<file path=customXml/_rels/item20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5.xml"/></Relationships>
</file>

<file path=customXml/_rels/item20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6.xml"/></Relationships>
</file>

<file path=customXml/_rels/item20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7.xml"/></Relationships>
</file>

<file path=customXml/_rels/item20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8.xml"/></Relationships>
</file>

<file path=customXml/_rels/item20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9.xml"/></Relationships>
</file>

<file path=customXml/_rels/item2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0.xml"/></Relationships>
</file>

<file path=customXml/_rels/item2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1.xml"/></Relationships>
</file>

<file path=customXml/_rels/item2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2.xml"/></Relationships>
</file>

<file path=customXml/_rels/item2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3.xml"/></Relationships>
</file>

<file path=customXml/_rels/item2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4.xml"/></Relationships>
</file>

<file path=customXml/_rels/item2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5.xml"/></Relationships>
</file>

<file path=customXml/_rels/item2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6.xml"/></Relationships>
</file>

<file path=customXml/_rels/item2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7.xml"/></Relationships>
</file>

<file path=customXml/_rels/item2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8.xml"/></Relationships>
</file>

<file path=customXml/_rels/item2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9.xml"/></Relationships>
</file>

<file path=customXml/_rels/item2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0.xml"/></Relationships>
</file>

<file path=customXml/_rels/item2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1.xml"/></Relationships>
</file>

<file path=customXml/_rels/item2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2.xml"/></Relationships>
</file>

<file path=customXml/_rels/item2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3.xml"/></Relationships>
</file>

<file path=customXml/_rels/item2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4.xml"/></Relationships>
</file>

<file path=customXml/_rels/item2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5.xml"/></Relationships>
</file>

<file path=customXml/_rels/item2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6.xml"/></Relationships>
</file>

<file path=customXml/_rels/item2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7.xml"/></Relationships>
</file>

<file path=customXml/_rels/item2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8.xml"/></Relationships>
</file>

<file path=customXml/_rels/item2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9.xml"/></Relationships>
</file>

<file path=customXml/_rels/item2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0.xml"/></Relationships>
</file>

<file path=customXml/_rels/item2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1.xml"/></Relationships>
</file>

<file path=customXml/_rels/item2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2.xml"/></Relationships>
</file>

<file path=customXml/_rels/item2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3.xml"/></Relationships>
</file>

<file path=customXml/_rels/item2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4.xml"/></Relationships>
</file>

<file path=customXml/_rels/item2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5.xml"/></Relationships>
</file>

<file path=customXml/_rels/item2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6.xml"/></Relationships>
</file>

<file path=customXml/_rels/item2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7.xml"/></Relationships>
</file>

<file path=customXml/_rels/item2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8.xml"/></Relationships>
</file>

<file path=customXml/_rels/item2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9.xml"/></Relationships>
</file>

<file path=customXml/_rels/item2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0.xml"/></Relationships>
</file>

<file path=customXml/_rels/item2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1.xml"/></Relationships>
</file>

<file path=customXml/_rels/item2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2.xml"/></Relationships>
</file>

<file path=customXml/_rels/item2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3.xml"/></Relationships>
</file>

<file path=customXml/_rels/item2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4.xml"/></Relationships>
</file>

<file path=customXml/_rels/item2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5.xml"/></Relationships>
</file>

<file path=customXml/_rels/item2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6.xml"/></Relationships>
</file>

<file path=customXml/_rels/item2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7.xml"/></Relationships>
</file>

<file path=customXml/_rels/item2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8.xml"/></Relationships>
</file>

<file path=customXml/_rels/item2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9.xml"/></Relationships>
</file>

<file path=customXml/_rels/item2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0.xml"/></Relationships>
</file>

<file path=customXml/_rels/item2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1.xml"/></Relationships>
</file>

<file path=customXml/_rels/item2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2.xml"/></Relationships>
</file>

<file path=customXml/_rels/item2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3.xml"/></Relationships>
</file>

<file path=customXml/_rels/item2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4.xml"/></Relationships>
</file>

<file path=customXml/_rels/item2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5.xml"/></Relationships>
</file>

<file path=customXml/_rels/item2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6.xml"/></Relationships>
</file>

<file path=customXml/_rels/item2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7.xml"/></Relationships>
</file>

<file path=customXml/_rels/item2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8.xml"/></Relationships>
</file>

<file path=customXml/_rels/item2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9.xml"/></Relationships>
</file>

<file path=customXml/_rels/item2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0.xml"/></Relationships>
</file>

<file path=customXml/_rels/item2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1.xml"/></Relationships>
</file>

<file path=customXml/_rels/item2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2.xml"/></Relationships>
</file>

<file path=customXml/_rels/item2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3.xml"/></Relationships>
</file>

<file path=customXml/_rels/item2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4.xml"/></Relationships>
</file>

<file path=customXml/_rels/item2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5.xml"/></Relationships>
</file>

<file path=customXml/_rels/item2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6.xml"/></Relationships>
</file>

<file path=customXml/_rels/item2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7.xml"/></Relationships>
</file>

<file path=customXml/_rels/item2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8.xml"/></Relationships>
</file>

<file path=customXml/_rels/item2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9.xml"/></Relationships>
</file>

<file path=customXml/_rels/item2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0.xml"/></Relationships>
</file>

<file path=customXml/_rels/item2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1.xml"/></Relationships>
</file>

<file path=customXml/_rels/item2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2.xml"/></Relationships>
</file>

<file path=customXml/_rels/item2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3.xml"/></Relationships>
</file>

<file path=customXml/_rels/item2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4.xml"/></Relationships>
</file>

<file path=customXml/_rels/item2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5.xml"/></Relationships>
</file>

<file path=customXml/_rels/item2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6.xml"/></Relationships>
</file>

<file path=customXml/_rels/item2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7.xml"/></Relationships>
</file>

<file path=customXml/_rels/item2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8.xml"/></Relationships>
</file>

<file path=customXml/_rels/item2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9.xml"/></Relationships>
</file>

<file path=customXml/_rels/item2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0.xml"/></Relationships>
</file>

<file path=customXml/_rels/item2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1.xml"/></Relationships>
</file>

<file path=customXml/_rels/item2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2.xml"/></Relationships>
</file>

<file path=customXml/_rels/item2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3.xml"/></Relationships>
</file>

<file path=customXml/_rels/item2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4.xml"/></Relationships>
</file>

<file path=customXml/_rels/item2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5.xml"/></Relationships>
</file>

<file path=customXml/_rels/item2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6.xml"/></Relationships>
</file>

<file path=customXml/_rels/item2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7.xml"/></Relationships>
</file>

<file path=customXml/_rels/item2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8.xml"/></Relationships>
</file>

<file path=customXml/_rels/item2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9.xml"/></Relationships>
</file>

<file path=customXml/_rels/item2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0.xml"/></Relationships>
</file>

<file path=customXml/_rels/item2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1.xml"/></Relationships>
</file>

<file path=customXml/_rels/item2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2.xml"/></Relationships>
</file>

<file path=customXml/_rels/item2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3.xml"/></Relationships>
</file>

<file path=customXml/_rels/item2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4.xml"/></Relationships>
</file>

<file path=customXml/_rels/item2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5.xml"/></Relationships>
</file>

<file path=customXml/_rels/item2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6.xml"/></Relationships>
</file>

<file path=customXml/_rels/item2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7.xml"/></Relationships>
</file>

<file path=customXml/_rels/item2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8.xml"/></Relationships>
</file>

<file path=customXml/_rels/item2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9.xml"/></Relationships>
</file>

<file path=customXml/_rels/item3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0.xml"/></Relationships>
</file>

<file path=customXml/_rels/item30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1.xml"/></Relationships>
</file>

<file path=customXml/_rels/item30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2.xml"/></Relationships>
</file>

<file path=customXml/_rels/item30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3.xml"/></Relationships>
</file>

<file path=customXml/_rels/item30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4.xml"/></Relationships>
</file>

<file path=customXml/_rels/item30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5.xml"/></Relationships>
</file>

<file path=customXml/_rels/item30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6.xml"/></Relationships>
</file>

<file path=customXml/_rels/item30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7.xml"/></Relationships>
</file>

<file path=customXml/_rels/item30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8.xml"/></Relationships>
</file>

<file path=customXml/_rels/item30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9.xml"/></Relationships>
</file>

<file path=customXml/_rels/item3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0.xml"/></Relationships>
</file>

<file path=customXml/_rels/item3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1.xml"/></Relationships>
</file>

<file path=customXml/_rels/item3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2.xml"/></Relationships>
</file>

<file path=customXml/_rels/item3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3.xml"/></Relationships>
</file>

<file path=customXml/_rels/item3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4.xml"/></Relationships>
</file>

<file path=customXml/_rels/item3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5.xml"/></Relationships>
</file>

<file path=customXml/_rels/item3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6.xml"/></Relationships>
</file>

<file path=customXml/_rels/item3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7.xml"/></Relationships>
</file>

<file path=customXml/_rels/item3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8.xml"/></Relationships>
</file>

<file path=customXml/_rels/item3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9.xml"/></Relationships>
</file>

<file path=customXml/_rels/item3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0.xml"/></Relationships>
</file>

<file path=customXml/_rels/item3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1.xml"/></Relationships>
</file>

<file path=customXml/_rels/item3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2.xml"/></Relationships>
</file>

<file path=customXml/_rels/item3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3.xml"/></Relationships>
</file>

<file path=customXml/_rels/item3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4.xml"/></Relationships>
</file>

<file path=customXml/_rels/item3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5.xml"/></Relationships>
</file>

<file path=customXml/_rels/item3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6.xml"/></Relationships>
</file>

<file path=customXml/_rels/item3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7.xml"/></Relationships>
</file>

<file path=customXml/_rels/item3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8.xml"/></Relationships>
</file>

<file path=customXml/_rels/item3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9.xml"/></Relationships>
</file>

<file path=customXml/_rels/item3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0.xml"/></Relationships>
</file>

<file path=customXml/_rels/item3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=�e�=�e�=ز�=ز�=ذ�=ذ�=�d�=�d�=�d�=�d�=�d�=�d�=�d�=�d�
</file>

<file path=customXml/item7.xml>��
</file>

<file path=customXml/item8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=�e�=�e�=ز�=ز�=ذ�=ذ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<ث�<ث�=�e�=�e�=���=���=�e�=�e�=ز�=ز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=�e�=�e�=ز�=ز�=ذ�=ذ�=�d�=�d�=�d�=�d�=�d�=�d�=�d�=�d�=�d�=�d�
</file>

<file path=customXml/item33.xml>��
</file>

<file path=customXml/item34.xml>��
</file>

<file path=customXml/item35.xml>��=�e�=�e�=���=���=�e�=�e�<ث�<ث�<؁�<؁�<؁�<؁�=ذ�=ذ�=ذ�=ذ�=�d�=�d�=�d�=�d�=�d�=�d�=�e�=�e�=�e�=�e�=�e�=�e�=�e�=�e�=��=��=�d�=�d�=�d�=�d�=�d�=�d�=�d�=�d�<ث�<ث�=ز�=ز�<ث�<ث�<ث�<ث�<ث�<ث�=ذ�=ذ�<ث�<ث�(=�e�((=�e�(=���(=���(<����(<����(=�e�(=�e�(=ت�(=ت�(=�d�=�d�=�d�=�d�=�d�=�d�=�e�=�e�=��=��=�e�=�e�=���=���=�d�=�d�=�e�=�e�=�d�=�d�=�d�=�d�=�e�=�e�=�d�=�d�=�e�=�e�=�e�=�e�=�e�=�e�<ث�<ث�=�d�=�d�=�d�=�d�=�e�=�e�<ث�<ث�<ث�<ث�=ز�=ز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
</file>

<file path=customXml/item43.xml>��
</file>

<file path=customXml/item44.xml>��
</file>

<file path=customXml/item45.xml>��
</file>

<file path=customXml/item46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<ث�<ث�=�e�=�e�=���=���=�e�=�e�=ز�=ز�
</file>

<file path=customXml/item47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<ث�<ث�=�e�=�e�=���=���=�e�=�e�=ز�=ز�
</file>

<file path=customXml/item54.xml>��
</file>

<file path=customXml/item55.xml>��
</file>

<file path=customXml/item56.xml>��
</file>

<file path=customXml/item57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<ث�<ث�=�e�=�e�=���=���
</file>

<file path=customXml/item58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<ث�<ث�=���=���=���=���=���=�e�=�e�=�e�=�e�=�e�
</file>

<file path=customXml/item76.xml>��
</file>

<file path=customXml/item77.xml>��
</file>

<file path=customXml/item78.xml>��
</file>

<file path=customXml/item79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=�e�=�e�=ز�=ز�=ذ�=ذ�=�d�=�d�=�d�=�d�=�d�=�d�=�d�=�d�
</file>

<file path=customXml/item80.xml>��
</file>

<file path=customXml/item81.xml>��
</file>

<file path=customXml/item82.xml>��
</file>

<file path=customXml/item83.xml>��
</file>

<file path=customXml/item84.xml>��
</file>

<file path=customXml/item85.xml>��
</file>

<file path=customXml/item86.xml>��
</file>

<file path=customXml/item87.xml>��
</file>

<file path=customXml/item88.xml>��
</file>

<file path=customXml/item89.xml>��
</file>

<file path=customXml/item90.xml>��
</file>

<file path=customXml/item91.xml>��
</file>

<file path=customXml/item92.xml>��
</file>

<file path=customXml/item93.xml>��
</file>

<file path=customXml/item94.xml>��
</file>

<file path=customXml/item95.xml>��
</file>

<file path=customXml/item96.xml>��
</file>

<file path=customXml/item97.xml>��
</file>

<file path=customXml/item98.xml>��
</file>

<file path=customXml/item99.xml>��
</file>

<file path=customXml/item100.xml>��
</file>

<file path=customXml/item101.xml>��
</file>

<file path=customXml/item102.xml>��
</file>

<file path=customXml/item103.xml>��
</file>

<file path=customXml/item104.xml>��
</file>

<file path=customXml/item105.xml>��
</file>

<file path=customXml/item106.xml>��
</file>

<file path=customXml/item107.xml>��
</file>

<file path=customXml/item108.xml>��
</file>

<file path=customXml/item109.xml>��
</file>

<file path=customXml/item110.xml>��
</file>

<file path=customXml/item111.xml>��
</file>

<file path=customXml/item112.xml>��
</file>

<file path=customXml/item113.xml>��
</file>

<file path=customXml/item114.xml>��
</file>

<file path=customXml/item115.xml>��
</file>

<file path=customXml/item116.xml>��
</file>

<file path=customXml/item117.xml>��
</file>

<file path=customXml/item118.xml>��
</file>

<file path=customXml/item119.xml>��<ث�<ث�=ذ�=ذ�=ذ�=ذ�=ذ�=ذ�=�d�=�d�=�e�=�e�=�d�=�d�<ث�<ث�=���=��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
</file>

<file path=customXml/item120.xml>��
</file>

<file path=customXml/item121.xml>��
</file>

<file path=customXml/item122.xml>��
</file>

<file path=customXml/item123.xml>��
</file>

<file path=customXml/item124.xml>��
</file>

<file path=customXml/item125.xml>��
</file>

<file path=customXml/item126.xml>��
</file>

<file path=customXml/item127.xml>��
</file>

<file path=customXml/item128.xml>��
</file>

<file path=customXml/item129.xml>��
</file>

<file path=customXml/item130.xml>��
</file>

<file path=customXml/item131.xml>��
</file>

<file path=customXml/item132.xml>��
</file>

<file path=customXml/item133.xml>��
</file>

<file path=customXml/item134.xml>��
</file>

<file path=customXml/item135.xml>��
</file>

<file path=customXml/item136.xml>��
</file>

<file path=customXml/item137.xml>��
</file>

<file path=customXml/item138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=�e�=�e�=�e�=�e�
</file>

<file path=customXml/item139.xml>��
</file>

<file path=customXml/item140.xml>��
</file>

<file path=customXml/item141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=�e�=�e�=�e�=�e�
</file>

<file path=customXml/item142.xml>��
</file>

<file path=customXml/item143.xml>��
</file>

<file path=customXml/item144.xml>��
</file>

<file path=customXml/item145.xml>��
</file>

<file path=customXml/item146.xml>��
</file>

<file path=customXml/item147.xml>��
</file>

<file path=customXml/item148.xml>��
</file>

<file path=customXml/item149.xml>��
</file>

<file path=customXml/item150.xml>��
</file>

<file path=customXml/item151.xml>��
</file>

<file path=customXml/item152.xml>��
</file>

<file path=customXml/item153.xml>��
</file>

<file path=customXml/item154.xml>��
</file>

<file path=customXml/item155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=�e�=�e�=ز�=ز�=ذ�=ذ�=�d�=�d�=�d�=�d�=�d�=�d�=�d�=�d�
</file>

<file path=customXml/item156.xml>��
</file>

<file path=customXml/item157.xml>��
</file>

<file path=customXml/item158.xml>��
</file>

<file path=customXml/item159.xml>��
</file>

<file path=customXml/item160.xml>��
</file>

<file path=customXml/item161.xml>��=ذ�=ذ�=ذ�=ذ�=ذ�=ذ�=�d�=�d�<ث�<ث�=�d�=�d�(=�e�((=�e�(=���(=���(=�d�=�d�<����(<����(=�e�=�e�=ت�(=ت�(=�e�=�e�=�e�=�e�=�d�=�d�=�d�=�d�<ث�<ث�<ث�<ث�=�e�=�e�=�d�=�d�=�e�(=�e�(=�e�=�e�=�e�=�e�<؁�<؁�<؁�<؁�=��=��<ث�<ث�=�e�=�e�=���=���<ث�<ث�=ز�=ز�=�d�=�d�=�d�=�d�=�d�=�d�=�d�=�d�<ث�<ث�=��=��=�e�=�e�=���=���=�d�=�d�=�e�=�e�=�d�=�d�=�d�=�d�=�e�=�e�=�d�=�d�=�e�=�e�=�e�=�e�<ث�<ث�=�e�=�e�<ث�<ث�=�d�=�d�=�d�=�d�=�e�=�e�<ث�<ث�<ث�<ث�
</file>

<file path=customXml/item162.xml>��
</file>

<file path=customXml/item163.xml>��
</file>

<file path=customXml/item164.xml>��
</file>

<file path=customXml/item165.xml>��
</file>

<file path=customXml/item166.xml>��
</file>

<file path=customXml/item167.xml>��
</file>

<file path=customXml/item168.xml>��
</file>

<file path=customXml/item169.xml>��
</file>

<file path=customXml/item170.xml>��
</file>

<file path=customXml/item171.xml>��
</file>

<file path=customXml/item172.xml>��
</file>

<file path=customXml/item173.xml>��
</file>

<file path=customXml/item174.xml>��
</file>

<file path=customXml/item175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<ث�<ث�<ث�<ث�
</file>

<file path=customXml/item176.xml>��
</file>

<file path=customXml/item177.xml>��
</file>

<file path=customXml/item178.xml>��
</file>

<file path=customXml/item179.xml>��
</file>

<file path=customXml/item180.xml>��
</file>

<file path=customXml/item181.xml>��
</file>

<file path=customXml/item182.xml>��
</file>

<file path=customXml/item183.xml>��
</file>

<file path=customXml/item184.xml>��
</file>

<file path=customXml/item185.xml>��=ذ�=ذ�=ذ�=ذ�=ذ�=ذ�=�d�=�d�<ث�<ث�=�d�=�d�(=�e�((=�e�(=���(=���(=�d�=�d�<����(<����(=�e�=�e�=ت�(=ت�(=�e�=�e�=�e�=�e�=�d�=�d�=�d�=�d�<ث�<ث�<ث�<ث�=�e�=�e�=�d�=�d�=�e�(=�e�(=�e�=�e�=�e�=�e�<؁�<؁�<؁�<؁�=��=��<ث�<ث�=�e�=�e�=���=���<ث�<ث�=ز�=ز�=�d�=�d�=�d�=�d�=�d�=�d�=�d�=�d�<ث�<ث�=��=��=�e�=�e�=���=���=�d�=�d�=�e�=�e�=�d�=�d�=�d�=�d�=�e�=�e�=�d�=�d�=�e�=�e�=�e�=�e�<ث�<ث�=�e�=�e�<ث�<ث�=�d�=�d�=�d�=�d�=�e�=�e�<ث�<ث�<ث�<ث�
</file>

<file path=customXml/item186.xml>��
</file>

<file path=customXml/item187.xml>��
</file>

<file path=customXml/item188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
</file>

<file path=customXml/item189.xml>��
</file>

<file path=customXml/item190.xml>��
</file>

<file path=customXml/item191.xml>��
</file>

<file path=customXml/item192.xml>��
</file>

<file path=customXml/item193.xml>��
</file>

<file path=customXml/item194.xml>��
</file>

<file path=customXml/item195.xml>��
</file>

<file path=customXml/item196.xml>��
</file>

<file path=customXml/item197.xml>��
</file>

<file path=customXml/item198.xml>��
</file>

<file path=customXml/item199.xml>��
</file>

<file path=customXml/item200.xml>��
</file>

<file path=customXml/item201.xml>��
</file>

<file path=customXml/item202.xml>��
</file>

<file path=customXml/item203.xml>��
</file>

<file path=customXml/item204.xml>��
</file>

<file path=customXml/item205.xml>��
</file>

<file path=customXml/item206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=���=���=���=���=���<ث�<ث�=�e�=�e�=�e�=�e�=�e�
</file>

<file path=customXml/item207.xml>��
</file>

<file path=customXml/item208.xml>��
</file>

<file path=customXml/item209.xml>��
</file>

<file path=customXml/item210.xml>��
</file>

<file path=customXml/item211.xml>��
</file>

<file path=customXml/item212.xml>��
</file>

<file path=customXml/item213.xml>��
</file>

<file path=customXml/item214.xml>��
</file>

<file path=customXml/item215.xml>��
</file>

<file path=customXml/item216.xml>��
</file>

<file path=customXml/item217.xml>��
</file>

<file path=customXml/item218.xml>��
</file>

<file path=customXml/item219.xml>��
</file>

<file path=customXml/item220.xml>��
</file>

<file path=customXml/item221.xml>��
</file>

<file path=customXml/item222.xml>��
</file>

<file path=customXml/item223.xml>��
</file>

<file path=customXml/item224.xml>��
</file>

<file path=customXml/item225.xml>��
</file>

<file path=customXml/item226.xml>��
</file>

<file path=customXml/item227.xml>��
</file>

<file path=customXml/item228.xml>��
</file>

<file path=customXml/item229.xml>��
</file>

<file path=customXml/item230.xml>��
</file>

<file path=customXml/item231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<ث�<ث�=���=���=���=���=���=�e�=�e�=�e�=�e�=�e�
</file>

<file path=customXml/item232.xml>��
</file>

<file path=customXml/item233.xml>��
</file>

<file path=customXml/item234.xml>��
</file>

<file path=customXml/item235.xml>��
</file>

<file path=customXml/item236.xml>��
</file>

<file path=customXml/item237.xml>��
</file>

<file path=customXml/item238.xml>��
</file>

<file path=customXml/item239.xml>��
</file>

<file path=customXml/item240.xml>��
</file>

<file path=customXml/item241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<ث�<ث�=�e�=�e�=���=���=�e�=�e�
</file>

<file path=customXml/item242.xml>��
</file>

<file path=customXml/item243.xml>��
</file>

<file path=customXml/item244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=���=���=���=���=���=�e�=�e�=�e�=�e�=�e�<ث�<ث�<ث�<ث�<ث�
</file>

<file path=customXml/item245.xml>��
</file>

<file path=customXml/item246.xml>��
</file>

<file path=customXml/item247.xml>��
</file>

<file path=customXml/item248.xml>��
</file>

<file path=customXml/item249.xml>��
</file>

<file path=customXml/item250.xml>��
</file>

<file path=customXml/item251.xml>��
</file>

<file path=customXml/item252.xml>��
</file>

<file path=customXml/item253.xml>��
</file>

<file path=customXml/item254.xml>��=�e�=�e�=���=���=�e�=�e�<ث�<ث�<؁�<؁�<؁�<؁�=ذ�=ذ�=ذ�=ذ�=�d�=�d�=�d�=�d�=�d�=�d�=�e�=�e�=�e�=�e�=�e�=�e�=�e�=�e�=�e�=�e�=��=��=�d�=�d�=�d�=�d�=�d�=�d�=�d�=�d�=�d�=�d�=�d�=�d�<ث�<ث�=ز�=ز�<ث�<ث�<ث�<ث�<ث�<ث�=ذ�=ذ�<ث�<ث�(=�e�((=�e�(=���(=���(<����(<����(=�e�(=�e�(=ت�(=ت�(=�d�=�d�=��=��=�e�=�e�=���=���=�d�=�d�=�e�=�e�=�d�=�d�=�d�=�d�=�e�=�e�=�d�=�d�=�e�=�e�=�e�=�e�=�e�=�e�<ث�<ث�=�d�=�d�=�d�=�d�=�e�=�e�<ث�<ث�<ث�<ث�<ث�<ث�
</file>

<file path=customXml/item255.xml>��
</file>

<file path=customXml/item256.xml>��
</file>

<file path=customXml/item257.xml>��
</file>

<file path=customXml/item258.xml>��
</file>

<file path=customXml/item259.xml>��
</file>

<file path=customXml/item260.xml>��
</file>

<file path=customXml/item261.xml>��
</file>

<file path=customXml/item262.xml>��
</file>

<file path=customXml/item263.xml>��
</file>

<file path=customXml/item264.xml>��
</file>

<file path=customXml/item265.xml>��
</file>

<file path=customXml/item266.xml>��
</file>

<file path=customXml/item267.xml>��
</file>

<file path=customXml/item268.xml>��
</file>

<file path=customXml/item269.xml>��
</file>

<file path=customXml/item270.xml>��
</file>

<file path=customXml/item271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=�e�=�e�=ز�=ز�=ذ�=ذ�=�d�=�d�=�d�=�d�=�d�=�d�=�d�=�d�
</file>

<file path=customXml/item272.xml>��
</file>

<file path=customXml/item273.xml>��
</file>

<file path=customXml/item274.xml>��
</file>

<file path=customXml/item275.xml>��
</file>

<file path=customXml/item276.xml>��
</file>

<file path=customXml/item277.xml>��
</file>

<file path=customXml/item278.xml>��
</file>

<file path=customXml/item279.xml>��
</file>

<file path=customXml/item280.xml>��
</file>

<file path=customXml/item281.xml>��
</file>

<file path=customXml/item282.xml>��
</file>

<file path=customXml/item283.xml>��
</file>

<file path=customXml/item284.xml>��
</file>

<file path=customXml/item285.xml>��
</file>

<file path=customXml/item286.xml>��
</file>

<file path=customXml/item287.xml>��
</file>

<file path=customXml/item288.xml>��
</file>

<file path=customXml/item289.xml>��
</file>

<file path=customXml/item290.xml>��
</file>

<file path=customXml/item291.xml>��
</file>

<file path=customXml/item292.xml>��
</file>

<file path=customXml/item293.xml>��
</file>

<file path=customXml/item294.xml>��
</file>

<file path=customXml/item295.xml>��
</file>

<file path=customXml/item296.xml>��
</file>

<file path=customXml/item297.xml>��
</file>

<file path=customXml/item298.xml>��
</file>

<file path=customXml/item299.xml>��
</file>

<file path=customXml/item300.xml>��
</file>

<file path=customXml/item301.xml>��=ذ�=ذ�=ذ�=ذ�=ذ�=ذ�=�d�=�d�<ث�<ث�=�d�=�d�(=�e�((=�e�(=���(=���(=�d�=�d�<����(<����(=�e�=�e�=ت�(=ت�(=�e�=�e�=�e�=�e�=�d�=�d�=�d�=�d�<ث�<ث�<ث�<ث�=�e�=�e�=�e�=�e�=�e�(=�e�(=�e�=�e�=�e�=�e�<؁�<؁�<؁�<؁�=��=��<ث�<ث�=�e�=�e�=���=���<ث�<ث�=ز�=ز�=�d�=�d�=�d�=�d�=�d�=�d�=�d�=�d�<ث�<ث�<ث�<���<ث�<���
</file>

<file path=customXml/item302.xml>��
</file>

<file path=customXml/item303.xml>��
</file>

<file path=customXml/item304.xml>��
</file>

<file path=customXml/item305.xml>��
</file>

<file path=customXml/item306.xml>��
</file>

<file path=customXml/item307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
</file>

<file path=customXml/item308.xml>��
</file>

<file path=customXml/item309.xml>��
</file>

<file path=customXml/item310.xml>��
</file>

<file path=customXml/item311.xml>��
</file>

<file path=customXml/item312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=�e�=�e�=ز�=ز�=ذ�=ذ�=�d�=�d�=�d�=�d�=�d�=�d�=�d�=�d�
</file>

<file path=customXml/item313.xml>��
</file>

<file path=customXml/item314.xml>��
</file>

<file path=customXml/item315.xml>��
</file>

<file path=customXml/item316.xml>��
</file>

<file path=customXml/item317.xml>��
</file>

<file path=customXml/item318.xml>��=ذ�=ذ�=ذ�=ذ�=ذ�=ذ�=�d�=�d�<ث�<ث�=�d�=�d�(=�e�((=�e�(=���(=���(=�d�=�d�<����(<����(=�e�=�e�=ت�(=ت�(=�e�=�e�=�e�=�e�=�d�=�d�=�d�=�d�<ث�<ث�<ث�<ث�=�e�=�e�=�e�=�e�=�e�(=�e�(=�e�=�e�=�e�=�e�<؁�<؁�<؁�<؁�=��=��<ث�<ث�=�e�=�e�=���=���<ث�<ث�=ز�=ز�=�d�=�d�=�d�=�d�=�d�=�d�=�d�=�d�<ث�<ث�<ث�<���<ث�<���
</file>

<file path=customXml/item319.xml>��
</file>

<file path=customXml/item320.xml>��
</file>

<file path=customXml/item321.xml>��
</file>

<file path=customXml/item322.xml>��
</file>

<file path=customXml/item323.xml>��
</file>

<file path=customXml/item324.xml>��
</file>

<file path=customXml/item325.xml>��
</file>

<file path=customXml/item326.xml>��
</file>

<file path=customXml/item327.xml>��
</file>

<file path=customXml/item328.xml>��
</file>

<file path=customXml/item329.xml>��
</file>

<file path=customXml/item330.xml>��
</file>

<file path=customXml/item331.xml>��
</file>

<file path=customXml/itemProps1.xml><?xml version="1.0" encoding="utf-8"?>
<ds:datastoreItem xmlns:ds="http://schemas.openxmlformats.org/officeDocument/2006/customXml" ds:itemID="{3EA02D15-7516-4D39-8837-26EB7B5F2908}">
  <ds:schemaRefs/>
</ds:datastoreItem>
</file>

<file path=customXml/itemProps2.xml><?xml version="1.0" encoding="utf-8"?>
<ds:datastoreItem xmlns:ds="http://schemas.openxmlformats.org/officeDocument/2006/customXml" ds:itemID="{ABBBDFC9-7228-4DD6-BD25-40C6C340A5C5}">
  <ds:schemaRefs/>
</ds:datastoreItem>
</file>

<file path=customXml/itemProps3.xml><?xml version="1.0" encoding="utf-8"?>
<ds:datastoreItem xmlns:ds="http://schemas.openxmlformats.org/officeDocument/2006/customXml" ds:itemID="{8CE1331B-66A3-49B6-A998-F232301EF363}">
  <ds:schemaRefs/>
</ds:datastoreItem>
</file>

<file path=customXml/itemProps4.xml><?xml version="1.0" encoding="utf-8"?>
<ds:datastoreItem xmlns:ds="http://schemas.openxmlformats.org/officeDocument/2006/customXml" ds:itemID="{F998C50A-540C-46E6-BA5B-CF48716710A0}">
  <ds:schemaRefs/>
</ds:datastoreItem>
</file>

<file path=customXml/itemProps5.xml><?xml version="1.0" encoding="utf-8"?>
<ds:datastoreItem xmlns:ds="http://schemas.openxmlformats.org/officeDocument/2006/customXml" ds:itemID="{92C1B810-B3D2-492C-A687-AC1DC80D87E5}">
  <ds:schemaRefs/>
</ds:datastoreItem>
</file>

<file path=customXml/itemProps6.xml><?xml version="1.0" encoding="utf-8"?>
<ds:datastoreItem xmlns:ds="http://schemas.openxmlformats.org/officeDocument/2006/customXml" ds:itemID="{F9C7A17F-F101-4B3E-9F3F-825D5D3A9D7D}">
  <ds:schemaRefs/>
</ds:datastoreItem>
</file>

<file path=customXml/itemProps7.xml><?xml version="1.0" encoding="utf-8"?>
<ds:datastoreItem xmlns:ds="http://schemas.openxmlformats.org/officeDocument/2006/customXml" ds:itemID="{A77A746A-ECAA-47EE-8E72-F96F4EA5B0D9}">
  <ds:schemaRefs/>
</ds:datastoreItem>
</file>

<file path=customXml/itemProps8.xml><?xml version="1.0" encoding="utf-8"?>
<ds:datastoreItem xmlns:ds="http://schemas.openxmlformats.org/officeDocument/2006/customXml" ds:itemID="{C301AD00-C7FD-4BF4-B542-EF7FB7A52E95}">
  <ds:schemaRefs/>
</ds:datastoreItem>
</file>

<file path=customXml/itemProps9.xml><?xml version="1.0" encoding="utf-8"?>
<ds:datastoreItem xmlns:ds="http://schemas.openxmlformats.org/officeDocument/2006/customXml" ds:itemID="{F79BCB9D-8FDA-4D72-A976-88AA3BD0CD94}">
  <ds:schemaRefs/>
</ds:datastoreItem>
</file>

<file path=customXml/itemProps10.xml><?xml version="1.0" encoding="utf-8"?>
<ds:datastoreItem xmlns:ds="http://schemas.openxmlformats.org/officeDocument/2006/customXml" ds:itemID="{4FB23629-CF29-4686-A548-98299C42B8C7}">
  <ds:schemaRefs/>
</ds:datastoreItem>
</file>

<file path=customXml/itemProps11.xml><?xml version="1.0" encoding="utf-8"?>
<ds:datastoreItem xmlns:ds="http://schemas.openxmlformats.org/officeDocument/2006/customXml" ds:itemID="{6A0BC688-CB10-4DB6-A84D-47D2CC8141CB}">
  <ds:schemaRefs/>
</ds:datastoreItem>
</file>

<file path=customXml/itemProps12.xml><?xml version="1.0" encoding="utf-8"?>
<ds:datastoreItem xmlns:ds="http://schemas.openxmlformats.org/officeDocument/2006/customXml" ds:itemID="{EB8F0F60-4561-471A-AD30-040A401213EF}">
  <ds:schemaRefs/>
</ds:datastoreItem>
</file>

<file path=customXml/itemProps13.xml><?xml version="1.0" encoding="utf-8"?>
<ds:datastoreItem xmlns:ds="http://schemas.openxmlformats.org/officeDocument/2006/customXml" ds:itemID="{231CE77D-C636-4296-BCAD-84F258A3BEC5}">
  <ds:schemaRefs/>
</ds:datastoreItem>
</file>

<file path=customXml/itemProps14.xml><?xml version="1.0" encoding="utf-8"?>
<ds:datastoreItem xmlns:ds="http://schemas.openxmlformats.org/officeDocument/2006/customXml" ds:itemID="{5FB455DF-1E9D-4441-AFFC-71F88D654F04}">
  <ds:schemaRefs/>
</ds:datastoreItem>
</file>

<file path=customXml/itemProps15.xml><?xml version="1.0" encoding="utf-8"?>
<ds:datastoreItem xmlns:ds="http://schemas.openxmlformats.org/officeDocument/2006/customXml" ds:itemID="{23942C0A-7D08-48ED-B49D-5C29E246AD99}">
  <ds:schemaRefs/>
</ds:datastoreItem>
</file>

<file path=customXml/itemProps16.xml><?xml version="1.0" encoding="utf-8"?>
<ds:datastoreItem xmlns:ds="http://schemas.openxmlformats.org/officeDocument/2006/customXml" ds:itemID="{DDC88E13-4AB5-42E6-AD73-61BA839F9C5C}">
  <ds:schemaRefs/>
</ds:datastoreItem>
</file>

<file path=customXml/itemProps17.xml><?xml version="1.0" encoding="utf-8"?>
<ds:datastoreItem xmlns:ds="http://schemas.openxmlformats.org/officeDocument/2006/customXml" ds:itemID="{0CB04559-609C-4DFA-A5DE-9CCD7E438E07}">
  <ds:schemaRefs/>
</ds:datastoreItem>
</file>

<file path=customXml/itemProps18.xml><?xml version="1.0" encoding="utf-8"?>
<ds:datastoreItem xmlns:ds="http://schemas.openxmlformats.org/officeDocument/2006/customXml" ds:itemID="{9787C682-D160-41AC-BD4A-EEEAE87C0B03}">
  <ds:schemaRefs/>
</ds:datastoreItem>
</file>

<file path=customXml/itemProps19.xml><?xml version="1.0" encoding="utf-8"?>
<ds:datastoreItem xmlns:ds="http://schemas.openxmlformats.org/officeDocument/2006/customXml" ds:itemID="{5E32A3E0-4CC0-4B86-B4B9-AE83D562D0DB}">
  <ds:schemaRefs/>
</ds:datastoreItem>
</file>

<file path=customXml/itemProps20.xml><?xml version="1.0" encoding="utf-8"?>
<ds:datastoreItem xmlns:ds="http://schemas.openxmlformats.org/officeDocument/2006/customXml" ds:itemID="{5C0C60BE-76D9-457A-94DD-215E6DAEF66E}">
  <ds:schemaRefs/>
</ds:datastoreItem>
</file>

<file path=customXml/itemProps21.xml><?xml version="1.0" encoding="utf-8"?>
<ds:datastoreItem xmlns:ds="http://schemas.openxmlformats.org/officeDocument/2006/customXml" ds:itemID="{5E68D579-B599-4BDE-A05A-D6621B2A2340}">
  <ds:schemaRefs/>
</ds:datastoreItem>
</file>

<file path=customXml/itemProps22.xml><?xml version="1.0" encoding="utf-8"?>
<ds:datastoreItem xmlns:ds="http://schemas.openxmlformats.org/officeDocument/2006/customXml" ds:itemID="{07870400-24AB-4F1B-9911-3F332E42A483}">
  <ds:schemaRefs/>
</ds:datastoreItem>
</file>

<file path=customXml/itemProps23.xml><?xml version="1.0" encoding="utf-8"?>
<ds:datastoreItem xmlns:ds="http://schemas.openxmlformats.org/officeDocument/2006/customXml" ds:itemID="{1B8B00C6-D69A-4956-8628-E3B3A59967A3}">
  <ds:schemaRefs/>
</ds:datastoreItem>
</file>

<file path=customXml/itemProps24.xml><?xml version="1.0" encoding="utf-8"?>
<ds:datastoreItem xmlns:ds="http://schemas.openxmlformats.org/officeDocument/2006/customXml" ds:itemID="{093E5F99-91A9-438B-8B39-769592D624E1}">
  <ds:schemaRefs/>
</ds:datastoreItem>
</file>

<file path=customXml/itemProps25.xml><?xml version="1.0" encoding="utf-8"?>
<ds:datastoreItem xmlns:ds="http://schemas.openxmlformats.org/officeDocument/2006/customXml" ds:itemID="{E431C938-77E9-41E5-AE14-F98606279E22}">
  <ds:schemaRefs/>
</ds:datastoreItem>
</file>

<file path=customXml/itemProps26.xml><?xml version="1.0" encoding="utf-8"?>
<ds:datastoreItem xmlns:ds="http://schemas.openxmlformats.org/officeDocument/2006/customXml" ds:itemID="{E9AB2FA9-B28C-49AB-ABA8-EFC5093747F6}">
  <ds:schemaRefs/>
</ds:datastoreItem>
</file>

<file path=customXml/itemProps27.xml><?xml version="1.0" encoding="utf-8"?>
<ds:datastoreItem xmlns:ds="http://schemas.openxmlformats.org/officeDocument/2006/customXml" ds:itemID="{04635E87-0CF5-4615-8EEC-3705B91110EA}">
  <ds:schemaRefs/>
</ds:datastoreItem>
</file>

<file path=customXml/itemProps28.xml><?xml version="1.0" encoding="utf-8"?>
<ds:datastoreItem xmlns:ds="http://schemas.openxmlformats.org/officeDocument/2006/customXml" ds:itemID="{C65415F3-B994-4282-A35B-281A1BE139A9}">
  <ds:schemaRefs/>
</ds:datastoreItem>
</file>

<file path=customXml/itemProps29.xml><?xml version="1.0" encoding="utf-8"?>
<ds:datastoreItem xmlns:ds="http://schemas.openxmlformats.org/officeDocument/2006/customXml" ds:itemID="{53135694-7724-499D-A582-32B6D2A0A54C}">
  <ds:schemaRefs/>
</ds:datastoreItem>
</file>

<file path=customXml/itemProps30.xml><?xml version="1.0" encoding="utf-8"?>
<ds:datastoreItem xmlns:ds="http://schemas.openxmlformats.org/officeDocument/2006/customXml" ds:itemID="{BCA281F2-5F9E-4437-9BD3-7599DCD4A7D9}">
  <ds:schemaRefs/>
</ds:datastoreItem>
</file>

<file path=customXml/itemProps31.xml><?xml version="1.0" encoding="utf-8"?>
<ds:datastoreItem xmlns:ds="http://schemas.openxmlformats.org/officeDocument/2006/customXml" ds:itemID="{AE147C79-A8DD-4C8A-948B-978B8C8740BA}">
  <ds:schemaRefs/>
</ds:datastoreItem>
</file>

<file path=customXml/itemProps32.xml><?xml version="1.0" encoding="utf-8"?>
<ds:datastoreItem xmlns:ds="http://schemas.openxmlformats.org/officeDocument/2006/customXml" ds:itemID="{1D14D93E-1AFB-4BDB-A455-62D3F2B5B326}">
  <ds:schemaRefs/>
</ds:datastoreItem>
</file>

<file path=customXml/itemProps33.xml><?xml version="1.0" encoding="utf-8"?>
<ds:datastoreItem xmlns:ds="http://schemas.openxmlformats.org/officeDocument/2006/customXml" ds:itemID="{FA9F893D-B42E-447E-82E3-DF2E63D977BF}">
  <ds:schemaRefs/>
</ds:datastoreItem>
</file>

<file path=customXml/itemProps34.xml><?xml version="1.0" encoding="utf-8"?>
<ds:datastoreItem xmlns:ds="http://schemas.openxmlformats.org/officeDocument/2006/customXml" ds:itemID="{A8A33985-B84A-4BB2-86BC-F4C1379B480C}">
  <ds:schemaRefs/>
</ds:datastoreItem>
</file>

<file path=customXml/itemProps35.xml><?xml version="1.0" encoding="utf-8"?>
<ds:datastoreItem xmlns:ds="http://schemas.openxmlformats.org/officeDocument/2006/customXml" ds:itemID="{B945C44C-6A66-4BC4-8FE3-DCA4CC87A4F6}">
  <ds:schemaRefs/>
</ds:datastoreItem>
</file>

<file path=customXml/itemProps36.xml><?xml version="1.0" encoding="utf-8"?>
<ds:datastoreItem xmlns:ds="http://schemas.openxmlformats.org/officeDocument/2006/customXml" ds:itemID="{BD95B24E-EB90-4E52-9F45-FDF240AFCB48}">
  <ds:schemaRefs>
    <ds:schemaRef ds:uri="http://schemas.microsoft.com/DataMashup"/>
  </ds:schemaRefs>
</ds:datastoreItem>
</file>

<file path=customXml/itemProps37.xml><?xml version="1.0" encoding="utf-8"?>
<ds:datastoreItem xmlns:ds="http://schemas.openxmlformats.org/officeDocument/2006/customXml" ds:itemID="{E8D3E68A-70BF-4B8E-9C90-7BD0BE6AA829}">
  <ds:schemaRefs/>
</ds:datastoreItem>
</file>

<file path=customXml/itemProps38.xml><?xml version="1.0" encoding="utf-8"?>
<ds:datastoreItem xmlns:ds="http://schemas.openxmlformats.org/officeDocument/2006/customXml" ds:itemID="{EC265FD7-B500-488B-A3DD-7A2293BE9A05}">
  <ds:schemaRefs/>
</ds:datastoreItem>
</file>

<file path=customXml/itemProps39.xml><?xml version="1.0" encoding="utf-8"?>
<ds:datastoreItem xmlns:ds="http://schemas.openxmlformats.org/officeDocument/2006/customXml" ds:itemID="{CB63EFEB-DCF3-48F6-BF8B-18E5F95DD248}">
  <ds:schemaRefs/>
</ds:datastoreItem>
</file>

<file path=customXml/itemProps40.xml><?xml version="1.0" encoding="utf-8"?>
<ds:datastoreItem xmlns:ds="http://schemas.openxmlformats.org/officeDocument/2006/customXml" ds:itemID="{C7240F1A-D009-4230-BC23-C700397663BF}">
  <ds:schemaRefs/>
</ds:datastoreItem>
</file>

<file path=customXml/itemProps41.xml><?xml version="1.0" encoding="utf-8"?>
<ds:datastoreItem xmlns:ds="http://schemas.openxmlformats.org/officeDocument/2006/customXml" ds:itemID="{1478C1A4-7726-4755-AE1A-0F8B3E4401C1}">
  <ds:schemaRefs/>
</ds:datastoreItem>
</file>

<file path=customXml/itemProps42.xml><?xml version="1.0" encoding="utf-8"?>
<ds:datastoreItem xmlns:ds="http://schemas.openxmlformats.org/officeDocument/2006/customXml" ds:itemID="{2BD9AF68-E768-40CB-9568-57BEB3DE1D5C}">
  <ds:schemaRefs/>
</ds:datastoreItem>
</file>

<file path=customXml/itemProps43.xml><?xml version="1.0" encoding="utf-8"?>
<ds:datastoreItem xmlns:ds="http://schemas.openxmlformats.org/officeDocument/2006/customXml" ds:itemID="{B4C83AB8-C877-4D56-857C-C9F5F8785446}">
  <ds:schemaRefs/>
</ds:datastoreItem>
</file>

<file path=customXml/itemProps44.xml><?xml version="1.0" encoding="utf-8"?>
<ds:datastoreItem xmlns:ds="http://schemas.openxmlformats.org/officeDocument/2006/customXml" ds:itemID="{24113C84-AD7D-4E7B-BB01-6610386F0181}">
  <ds:schemaRefs/>
</ds:datastoreItem>
</file>

<file path=customXml/itemProps45.xml><?xml version="1.0" encoding="utf-8"?>
<ds:datastoreItem xmlns:ds="http://schemas.openxmlformats.org/officeDocument/2006/customXml" ds:itemID="{B6358B73-9353-4848-9254-5E15F8EF6587}">
  <ds:schemaRefs/>
</ds:datastoreItem>
</file>

<file path=customXml/itemProps46.xml><?xml version="1.0" encoding="utf-8"?>
<ds:datastoreItem xmlns:ds="http://schemas.openxmlformats.org/officeDocument/2006/customXml" ds:itemID="{3E2D87EE-2C96-4D51-860F-8C561E947EE6}">
  <ds:schemaRefs/>
</ds:datastoreItem>
</file>

<file path=customXml/itemProps47.xml><?xml version="1.0" encoding="utf-8"?>
<ds:datastoreItem xmlns:ds="http://schemas.openxmlformats.org/officeDocument/2006/customXml" ds:itemID="{09774F33-58AE-4B14-8F82-366977A680F4}">
  <ds:schemaRefs/>
</ds:datastoreItem>
</file>

<file path=customXml/itemProps48.xml><?xml version="1.0" encoding="utf-8"?>
<ds:datastoreItem xmlns:ds="http://schemas.openxmlformats.org/officeDocument/2006/customXml" ds:itemID="{CCCD857B-491D-4984-9703-96D0C834FD15}">
  <ds:schemaRefs/>
</ds:datastoreItem>
</file>

<file path=customXml/itemProps49.xml><?xml version="1.0" encoding="utf-8"?>
<ds:datastoreItem xmlns:ds="http://schemas.openxmlformats.org/officeDocument/2006/customXml" ds:itemID="{634887FB-B138-4D9C-95D5-D519C9629971}">
  <ds:schemaRefs/>
</ds:datastoreItem>
</file>

<file path=customXml/itemProps50.xml><?xml version="1.0" encoding="utf-8"?>
<ds:datastoreItem xmlns:ds="http://schemas.openxmlformats.org/officeDocument/2006/customXml" ds:itemID="{26111D49-1CFF-4B0F-AECA-C01E25D19D27}">
  <ds:schemaRefs/>
</ds:datastoreItem>
</file>

<file path=customXml/itemProps51.xml><?xml version="1.0" encoding="utf-8"?>
<ds:datastoreItem xmlns:ds="http://schemas.openxmlformats.org/officeDocument/2006/customXml" ds:itemID="{9ED46B92-31CA-4816-A9B2-8C4EF459E484}">
  <ds:schemaRefs/>
</ds:datastoreItem>
</file>

<file path=customXml/itemProps52.xml><?xml version="1.0" encoding="utf-8"?>
<ds:datastoreItem xmlns:ds="http://schemas.openxmlformats.org/officeDocument/2006/customXml" ds:itemID="{BB3E082E-9788-4BB7-AB39-76CB73821045}">
  <ds:schemaRefs/>
</ds:datastoreItem>
</file>

<file path=customXml/itemProps53.xml><?xml version="1.0" encoding="utf-8"?>
<ds:datastoreItem xmlns:ds="http://schemas.openxmlformats.org/officeDocument/2006/customXml" ds:itemID="{263E7543-1338-43DB-BC61-4505F202AC6C}">
  <ds:schemaRefs/>
</ds:datastoreItem>
</file>

<file path=customXml/itemProps54.xml><?xml version="1.0" encoding="utf-8"?>
<ds:datastoreItem xmlns:ds="http://schemas.openxmlformats.org/officeDocument/2006/customXml" ds:itemID="{E377A98D-8FB0-43EC-BD6C-EBCFF792C908}">
  <ds:schemaRefs/>
</ds:datastoreItem>
</file>

<file path=customXml/itemProps55.xml><?xml version="1.0" encoding="utf-8"?>
<ds:datastoreItem xmlns:ds="http://schemas.openxmlformats.org/officeDocument/2006/customXml" ds:itemID="{8E7127AD-8765-4026-9F78-FD2E06398EF9}">
  <ds:schemaRefs/>
</ds:datastoreItem>
</file>

<file path=customXml/itemProps56.xml><?xml version="1.0" encoding="utf-8"?>
<ds:datastoreItem xmlns:ds="http://schemas.openxmlformats.org/officeDocument/2006/customXml" ds:itemID="{A1694E57-FD8A-422C-AD0F-5DF2C5BD0E7B}">
  <ds:schemaRefs/>
</ds:datastoreItem>
</file>

<file path=customXml/itemProps57.xml><?xml version="1.0" encoding="utf-8"?>
<ds:datastoreItem xmlns:ds="http://schemas.openxmlformats.org/officeDocument/2006/customXml" ds:itemID="{7A6FF62D-E039-4B61-9AB8-CC616F6CEA00}">
  <ds:schemaRefs/>
</ds:datastoreItem>
</file>

<file path=customXml/itemProps58.xml><?xml version="1.0" encoding="utf-8"?>
<ds:datastoreItem xmlns:ds="http://schemas.openxmlformats.org/officeDocument/2006/customXml" ds:itemID="{1B5D69E0-43F7-43F5-AFF8-2814D595923E}">
  <ds:schemaRefs/>
</ds:datastoreItem>
</file>

<file path=customXml/itemProps59.xml><?xml version="1.0" encoding="utf-8"?>
<ds:datastoreItem xmlns:ds="http://schemas.openxmlformats.org/officeDocument/2006/customXml" ds:itemID="{716EA437-DE2F-4D85-94EF-DD2636BDBBA2}">
  <ds:schemaRefs/>
</ds:datastoreItem>
</file>

<file path=customXml/itemProps60.xml><?xml version="1.0" encoding="utf-8"?>
<ds:datastoreItem xmlns:ds="http://schemas.openxmlformats.org/officeDocument/2006/customXml" ds:itemID="{5A757599-2650-4754-B887-03430E2082B3}">
  <ds:schemaRefs/>
</ds:datastoreItem>
</file>

<file path=customXml/itemProps61.xml><?xml version="1.0" encoding="utf-8"?>
<ds:datastoreItem xmlns:ds="http://schemas.openxmlformats.org/officeDocument/2006/customXml" ds:itemID="{B11ACDBC-BA27-4907-86A6-84DFDCD59D92}">
  <ds:schemaRefs/>
</ds:datastoreItem>
</file>

<file path=customXml/itemProps62.xml><?xml version="1.0" encoding="utf-8"?>
<ds:datastoreItem xmlns:ds="http://schemas.openxmlformats.org/officeDocument/2006/customXml" ds:itemID="{7789BB69-356D-4491-B616-42D10EB47E29}">
  <ds:schemaRefs/>
</ds:datastoreItem>
</file>

<file path=customXml/itemProps63.xml><?xml version="1.0" encoding="utf-8"?>
<ds:datastoreItem xmlns:ds="http://schemas.openxmlformats.org/officeDocument/2006/customXml" ds:itemID="{DE69DB11-F1A9-4AA9-9A48-AB98EC202E8D}">
  <ds:schemaRefs/>
</ds:datastoreItem>
</file>

<file path=customXml/itemProps64.xml><?xml version="1.0" encoding="utf-8"?>
<ds:datastoreItem xmlns:ds="http://schemas.openxmlformats.org/officeDocument/2006/customXml" ds:itemID="{1B3659C1-5CC5-4802-B40D-FCD38115A49B}">
  <ds:schemaRefs/>
</ds:datastoreItem>
</file>

<file path=customXml/itemProps65.xml><?xml version="1.0" encoding="utf-8"?>
<ds:datastoreItem xmlns:ds="http://schemas.openxmlformats.org/officeDocument/2006/customXml" ds:itemID="{9D28C0BA-3851-47AC-8F9A-58791C43F7B5}">
  <ds:schemaRefs/>
</ds:datastoreItem>
</file>

<file path=customXml/itemProps66.xml><?xml version="1.0" encoding="utf-8"?>
<ds:datastoreItem xmlns:ds="http://schemas.openxmlformats.org/officeDocument/2006/customXml" ds:itemID="{71E4BF87-EA3D-4978-82BE-F67C5DDBF51C}">
  <ds:schemaRefs/>
</ds:datastoreItem>
</file>

<file path=customXml/itemProps67.xml><?xml version="1.0" encoding="utf-8"?>
<ds:datastoreItem xmlns:ds="http://schemas.openxmlformats.org/officeDocument/2006/customXml" ds:itemID="{E91C5A97-33A4-4BDC-A8BD-A5EF775185AB}">
  <ds:schemaRefs/>
</ds:datastoreItem>
</file>

<file path=customXml/itemProps68.xml><?xml version="1.0" encoding="utf-8"?>
<ds:datastoreItem xmlns:ds="http://schemas.openxmlformats.org/officeDocument/2006/customXml" ds:itemID="{4DA3FC9E-0EBE-493A-83AF-8FF1F10D317F}">
  <ds:schemaRefs/>
</ds:datastoreItem>
</file>

<file path=customXml/itemProps69.xml><?xml version="1.0" encoding="utf-8"?>
<ds:datastoreItem xmlns:ds="http://schemas.openxmlformats.org/officeDocument/2006/customXml" ds:itemID="{C3E3E80B-1866-405C-85F0-8B817739810E}">
  <ds:schemaRefs/>
</ds:datastoreItem>
</file>

<file path=customXml/itemProps70.xml><?xml version="1.0" encoding="utf-8"?>
<ds:datastoreItem xmlns:ds="http://schemas.openxmlformats.org/officeDocument/2006/customXml" ds:itemID="{2A148F57-395B-460A-9C50-92AF222A0DAC}">
  <ds:schemaRefs/>
</ds:datastoreItem>
</file>

<file path=customXml/itemProps71.xml><?xml version="1.0" encoding="utf-8"?>
<ds:datastoreItem xmlns:ds="http://schemas.openxmlformats.org/officeDocument/2006/customXml" ds:itemID="{27820AA3-BA6C-43D6-B299-027C0508F246}">
  <ds:schemaRefs/>
</ds:datastoreItem>
</file>

<file path=customXml/itemProps72.xml><?xml version="1.0" encoding="utf-8"?>
<ds:datastoreItem xmlns:ds="http://schemas.openxmlformats.org/officeDocument/2006/customXml" ds:itemID="{9DA2394D-0263-4321-BC1C-4B1C95877F50}">
  <ds:schemaRefs/>
</ds:datastoreItem>
</file>

<file path=customXml/itemProps73.xml><?xml version="1.0" encoding="utf-8"?>
<ds:datastoreItem xmlns:ds="http://schemas.openxmlformats.org/officeDocument/2006/customXml" ds:itemID="{77570C05-D6BD-4335-9339-4C6038899074}">
  <ds:schemaRefs/>
</ds:datastoreItem>
</file>

<file path=customXml/itemProps74.xml><?xml version="1.0" encoding="utf-8"?>
<ds:datastoreItem xmlns:ds="http://schemas.openxmlformats.org/officeDocument/2006/customXml" ds:itemID="{E63C1FAD-22CF-4399-B94E-B4B8B6359048}">
  <ds:schemaRefs/>
</ds:datastoreItem>
</file>

<file path=customXml/itemProps75.xml><?xml version="1.0" encoding="utf-8"?>
<ds:datastoreItem xmlns:ds="http://schemas.openxmlformats.org/officeDocument/2006/customXml" ds:itemID="{440DB35D-319D-4F74-8AA4-C1B771C6B380}">
  <ds:schemaRefs/>
</ds:datastoreItem>
</file>

<file path=customXml/itemProps76.xml><?xml version="1.0" encoding="utf-8"?>
<ds:datastoreItem xmlns:ds="http://schemas.openxmlformats.org/officeDocument/2006/customXml" ds:itemID="{C8CD1380-A042-42B6-9E96-7EFB183D265D}">
  <ds:schemaRefs/>
</ds:datastoreItem>
</file>

<file path=customXml/itemProps77.xml><?xml version="1.0" encoding="utf-8"?>
<ds:datastoreItem xmlns:ds="http://schemas.openxmlformats.org/officeDocument/2006/customXml" ds:itemID="{05CEB961-C1EC-43BD-84D1-47D82C382A1D}">
  <ds:schemaRefs>
    <ds:schemaRef ds:uri="http://www.w3.org/2001/XMLSchema"/>
    <ds:schemaRef ds:uri="http://microsoft.data.visualization.Client.Excel/1.0"/>
  </ds:schemaRefs>
</ds:datastoreItem>
</file>

<file path=customXml/itemProps78.xml><?xml version="1.0" encoding="utf-8"?>
<ds:datastoreItem xmlns:ds="http://schemas.openxmlformats.org/officeDocument/2006/customXml" ds:itemID="{CF7B7BDF-13CE-4130-A887-A5742A4F72DC}">
  <ds:schemaRefs/>
</ds:datastoreItem>
</file>

<file path=customXml/itemProps79.xml><?xml version="1.0" encoding="utf-8"?>
<ds:datastoreItem xmlns:ds="http://schemas.openxmlformats.org/officeDocument/2006/customXml" ds:itemID="{3FD5E3EB-EA21-402D-922A-AAD7496D2E8D}">
  <ds:schemaRefs/>
</ds:datastoreItem>
</file>

<file path=customXml/itemProps80.xml><?xml version="1.0" encoding="utf-8"?>
<ds:datastoreItem xmlns:ds="http://schemas.openxmlformats.org/officeDocument/2006/customXml" ds:itemID="{3D5E1666-BDE2-4085-A1F1-6DBA864EDF3F}">
  <ds:schemaRefs/>
</ds:datastoreItem>
</file>

<file path=customXml/itemProps81.xml><?xml version="1.0" encoding="utf-8"?>
<ds:datastoreItem xmlns:ds="http://schemas.openxmlformats.org/officeDocument/2006/customXml" ds:itemID="{A16E2F87-0D2C-4BDF-A541-2D1FAFA6DEC9}">
  <ds:schemaRefs/>
</ds:datastoreItem>
</file>

<file path=customXml/itemProps82.xml><?xml version="1.0" encoding="utf-8"?>
<ds:datastoreItem xmlns:ds="http://schemas.openxmlformats.org/officeDocument/2006/customXml" ds:itemID="{36BEC1E5-E6CB-4F26-AB82-1FCBAE01F2BD}">
  <ds:schemaRefs/>
</ds:datastoreItem>
</file>

<file path=customXml/itemProps83.xml><?xml version="1.0" encoding="utf-8"?>
<ds:datastoreItem xmlns:ds="http://schemas.openxmlformats.org/officeDocument/2006/customXml" ds:itemID="{BFA57357-B849-40B1-89C5-A5861FA22251}">
  <ds:schemaRefs/>
</ds:datastoreItem>
</file>

<file path=customXml/itemProps84.xml><?xml version="1.0" encoding="utf-8"?>
<ds:datastoreItem xmlns:ds="http://schemas.openxmlformats.org/officeDocument/2006/customXml" ds:itemID="{31282AE0-CA5A-47D1-BAEA-A437D463B6D2}">
  <ds:schemaRefs/>
</ds:datastoreItem>
</file>

<file path=customXml/itemProps85.xml><?xml version="1.0" encoding="utf-8"?>
<ds:datastoreItem xmlns:ds="http://schemas.openxmlformats.org/officeDocument/2006/customXml" ds:itemID="{7663ED02-2891-4046-80DE-63222231F9BE}">
  <ds:schemaRefs/>
</ds:datastoreItem>
</file>

<file path=customXml/itemProps86.xml><?xml version="1.0" encoding="utf-8"?>
<ds:datastoreItem xmlns:ds="http://schemas.openxmlformats.org/officeDocument/2006/customXml" ds:itemID="{DFDA8D21-C75D-409D-B3E1-9615D9A1D9EF}">
  <ds:schemaRefs/>
</ds:datastoreItem>
</file>

<file path=customXml/itemProps87.xml><?xml version="1.0" encoding="utf-8"?>
<ds:datastoreItem xmlns:ds="http://schemas.openxmlformats.org/officeDocument/2006/customXml" ds:itemID="{6A9E78A0-26F0-4ED4-B188-862E16C53E40}">
  <ds:schemaRefs/>
</ds:datastoreItem>
</file>

<file path=customXml/itemProps88.xml><?xml version="1.0" encoding="utf-8"?>
<ds:datastoreItem xmlns:ds="http://schemas.openxmlformats.org/officeDocument/2006/customXml" ds:itemID="{4A83228E-3E4F-4C87-B6CF-EE27B24E7072}">
  <ds:schemaRefs/>
</ds:datastoreItem>
</file>

<file path=customXml/itemProps89.xml><?xml version="1.0" encoding="utf-8"?>
<ds:datastoreItem xmlns:ds="http://schemas.openxmlformats.org/officeDocument/2006/customXml" ds:itemID="{E6FC5B71-70D2-4143-8561-7ABBC9E4A6C1}">
  <ds:schemaRefs/>
</ds:datastoreItem>
</file>

<file path=customXml/itemProps90.xml><?xml version="1.0" encoding="utf-8"?>
<ds:datastoreItem xmlns:ds="http://schemas.openxmlformats.org/officeDocument/2006/customXml" ds:itemID="{5050AAD2-4BB5-4C37-896F-609766ECA826}">
  <ds:schemaRefs/>
</ds:datastoreItem>
</file>

<file path=customXml/itemProps91.xml><?xml version="1.0" encoding="utf-8"?>
<ds:datastoreItem xmlns:ds="http://schemas.openxmlformats.org/officeDocument/2006/customXml" ds:itemID="{ED0EB0BB-F1F8-4C76-839C-5282E3E8BC9B}">
  <ds:schemaRefs/>
</ds:datastoreItem>
</file>

<file path=customXml/itemProps92.xml><?xml version="1.0" encoding="utf-8"?>
<ds:datastoreItem xmlns:ds="http://schemas.openxmlformats.org/officeDocument/2006/customXml" ds:itemID="{92C8815B-30FA-4585-8937-66A8E5794E35}">
  <ds:schemaRefs/>
</ds:datastoreItem>
</file>

<file path=customXml/itemProps93.xml><?xml version="1.0" encoding="utf-8"?>
<ds:datastoreItem xmlns:ds="http://schemas.openxmlformats.org/officeDocument/2006/customXml" ds:itemID="{8A6C7B5B-BAB6-47DC-AD58-25F3193055D3}">
  <ds:schemaRefs/>
</ds:datastoreItem>
</file>

<file path=customXml/itemProps94.xml><?xml version="1.0" encoding="utf-8"?>
<ds:datastoreItem xmlns:ds="http://schemas.openxmlformats.org/officeDocument/2006/customXml" ds:itemID="{82B84B46-2E77-4D22-8139-2E515D709D88}">
  <ds:schemaRefs/>
</ds:datastoreItem>
</file>

<file path=customXml/itemProps95.xml><?xml version="1.0" encoding="utf-8"?>
<ds:datastoreItem xmlns:ds="http://schemas.openxmlformats.org/officeDocument/2006/customXml" ds:itemID="{9C7E069C-5D84-4D81-874D-1864F4E651DF}">
  <ds:schemaRefs/>
</ds:datastoreItem>
</file>

<file path=customXml/itemProps96.xml><?xml version="1.0" encoding="utf-8"?>
<ds:datastoreItem xmlns:ds="http://schemas.openxmlformats.org/officeDocument/2006/customXml" ds:itemID="{8A621209-1A20-4219-B27E-060BCB6D8C01}">
  <ds:schemaRefs/>
</ds:datastoreItem>
</file>

<file path=customXml/itemProps97.xml><?xml version="1.0" encoding="utf-8"?>
<ds:datastoreItem xmlns:ds="http://schemas.openxmlformats.org/officeDocument/2006/customXml" ds:itemID="{E0F4A8AB-E4B8-407B-8B7D-4B3F44D4FA02}">
  <ds:schemaRefs/>
</ds:datastoreItem>
</file>

<file path=customXml/itemProps98.xml><?xml version="1.0" encoding="utf-8"?>
<ds:datastoreItem xmlns:ds="http://schemas.openxmlformats.org/officeDocument/2006/customXml" ds:itemID="{EDED53B7-2580-4919-9306-0E000E0FFB7B}">
  <ds:schemaRefs/>
</ds:datastoreItem>
</file>

<file path=customXml/itemProps99.xml><?xml version="1.0" encoding="utf-8"?>
<ds:datastoreItem xmlns:ds="http://schemas.openxmlformats.org/officeDocument/2006/customXml" ds:itemID="{D7083E7B-EDF7-4CCE-9BB0-0836793FBD06}">
  <ds:schemaRefs/>
</ds:datastoreItem>
</file>

<file path=customXml/itemProps100.xml><?xml version="1.0" encoding="utf-8"?>
<ds:datastoreItem xmlns:ds="http://schemas.openxmlformats.org/officeDocument/2006/customXml" ds:itemID="{61545358-7F8C-4BD7-92C7-092048F7010D}">
  <ds:schemaRefs/>
</ds:datastoreItem>
</file>

<file path=customXml/itemProps101.xml><?xml version="1.0" encoding="utf-8"?>
<ds:datastoreItem xmlns:ds="http://schemas.openxmlformats.org/officeDocument/2006/customXml" ds:itemID="{408792FC-13FE-4646-9437-7D31A977E045}">
  <ds:schemaRefs/>
</ds:datastoreItem>
</file>

<file path=customXml/itemProps102.xml><?xml version="1.0" encoding="utf-8"?>
<ds:datastoreItem xmlns:ds="http://schemas.openxmlformats.org/officeDocument/2006/customXml" ds:itemID="{58C390F0-107B-4A55-85ED-E2FA5EE8B79D}">
  <ds:schemaRefs/>
</ds:datastoreItem>
</file>

<file path=customXml/itemProps103.xml><?xml version="1.0" encoding="utf-8"?>
<ds:datastoreItem xmlns:ds="http://schemas.openxmlformats.org/officeDocument/2006/customXml" ds:itemID="{57C6C154-B573-4F2F-880D-9CEA46AB9E69}">
  <ds:schemaRefs/>
</ds:datastoreItem>
</file>

<file path=customXml/itemProps104.xml><?xml version="1.0" encoding="utf-8"?>
<ds:datastoreItem xmlns:ds="http://schemas.openxmlformats.org/officeDocument/2006/customXml" ds:itemID="{F55BDF08-5ED5-44F2-ABF6-22301B8A394B}">
  <ds:schemaRefs/>
</ds:datastoreItem>
</file>

<file path=customXml/itemProps105.xml><?xml version="1.0" encoding="utf-8"?>
<ds:datastoreItem xmlns:ds="http://schemas.openxmlformats.org/officeDocument/2006/customXml" ds:itemID="{154938F9-36D5-4BDB-A014-572D514EBB23}">
  <ds:schemaRefs/>
</ds:datastoreItem>
</file>

<file path=customXml/itemProps106.xml><?xml version="1.0" encoding="utf-8"?>
<ds:datastoreItem xmlns:ds="http://schemas.openxmlformats.org/officeDocument/2006/customXml" ds:itemID="{534A3967-B137-481C-AEE6-31D098A94046}">
  <ds:schemaRefs/>
</ds:datastoreItem>
</file>

<file path=customXml/itemProps107.xml><?xml version="1.0" encoding="utf-8"?>
<ds:datastoreItem xmlns:ds="http://schemas.openxmlformats.org/officeDocument/2006/customXml" ds:itemID="{163E11CA-7150-4741-AC31-66D392ED0798}">
  <ds:schemaRefs/>
</ds:datastoreItem>
</file>

<file path=customXml/itemProps108.xml><?xml version="1.0" encoding="utf-8"?>
<ds:datastoreItem xmlns:ds="http://schemas.openxmlformats.org/officeDocument/2006/customXml" ds:itemID="{073030D6-C728-4A1F-ABA9-F7CD312C2555}">
  <ds:schemaRefs/>
</ds:datastoreItem>
</file>

<file path=customXml/itemProps109.xml><?xml version="1.0" encoding="utf-8"?>
<ds:datastoreItem xmlns:ds="http://schemas.openxmlformats.org/officeDocument/2006/customXml" ds:itemID="{16C968A3-49A3-4C14-A00B-BF3CAA46B972}">
  <ds:schemaRefs/>
</ds:datastoreItem>
</file>

<file path=customXml/itemProps110.xml><?xml version="1.0" encoding="utf-8"?>
<ds:datastoreItem xmlns:ds="http://schemas.openxmlformats.org/officeDocument/2006/customXml" ds:itemID="{C8638E6C-ED1F-4764-A4F7-037593A1327F}">
  <ds:schemaRefs/>
</ds:datastoreItem>
</file>

<file path=customXml/itemProps111.xml><?xml version="1.0" encoding="utf-8"?>
<ds:datastoreItem xmlns:ds="http://schemas.openxmlformats.org/officeDocument/2006/customXml" ds:itemID="{D6D961F0-39ED-4224-A63B-F6EE86F2D37F}">
  <ds:schemaRefs/>
</ds:datastoreItem>
</file>

<file path=customXml/itemProps112.xml><?xml version="1.0" encoding="utf-8"?>
<ds:datastoreItem xmlns:ds="http://schemas.openxmlformats.org/officeDocument/2006/customXml" ds:itemID="{CD44F6A7-D0DC-45E9-9DE4-3F07D4968FBB}">
  <ds:schemaRefs/>
</ds:datastoreItem>
</file>

<file path=customXml/itemProps113.xml><?xml version="1.0" encoding="utf-8"?>
<ds:datastoreItem xmlns:ds="http://schemas.openxmlformats.org/officeDocument/2006/customXml" ds:itemID="{7633C94F-5996-4294-88EA-4BCA378AE4BC}">
  <ds:schemaRefs/>
</ds:datastoreItem>
</file>

<file path=customXml/itemProps114.xml><?xml version="1.0" encoding="utf-8"?>
<ds:datastoreItem xmlns:ds="http://schemas.openxmlformats.org/officeDocument/2006/customXml" ds:itemID="{D320102A-527D-4E02-B5CA-2503C6185ED1}">
  <ds:schemaRefs/>
</ds:datastoreItem>
</file>

<file path=customXml/itemProps115.xml><?xml version="1.0" encoding="utf-8"?>
<ds:datastoreItem xmlns:ds="http://schemas.openxmlformats.org/officeDocument/2006/customXml" ds:itemID="{68165E59-A20F-4A45-B534-68A21512B1F6}">
  <ds:schemaRefs/>
</ds:datastoreItem>
</file>

<file path=customXml/itemProps116.xml><?xml version="1.0" encoding="utf-8"?>
<ds:datastoreItem xmlns:ds="http://schemas.openxmlformats.org/officeDocument/2006/customXml" ds:itemID="{822CC4B3-EEA6-4C17-B852-9C907810D87A}">
  <ds:schemaRefs/>
</ds:datastoreItem>
</file>

<file path=customXml/itemProps117.xml><?xml version="1.0" encoding="utf-8"?>
<ds:datastoreItem xmlns:ds="http://schemas.openxmlformats.org/officeDocument/2006/customXml" ds:itemID="{BF6BF091-ABE8-4032-A4EA-7C159030F141}">
  <ds:schemaRefs/>
</ds:datastoreItem>
</file>

<file path=customXml/itemProps118.xml><?xml version="1.0" encoding="utf-8"?>
<ds:datastoreItem xmlns:ds="http://schemas.openxmlformats.org/officeDocument/2006/customXml" ds:itemID="{BA16A974-3E1B-49F3-A0C1-7D6A06540F13}">
  <ds:schemaRefs/>
</ds:datastoreItem>
</file>

<file path=customXml/itemProps119.xml><?xml version="1.0" encoding="utf-8"?>
<ds:datastoreItem xmlns:ds="http://schemas.openxmlformats.org/officeDocument/2006/customXml" ds:itemID="{30CB4EC7-3CC7-4865-B703-E71F9D9CF7EF}">
  <ds:schemaRefs/>
</ds:datastoreItem>
</file>

<file path=customXml/itemProps120.xml><?xml version="1.0" encoding="utf-8"?>
<ds:datastoreItem xmlns:ds="http://schemas.openxmlformats.org/officeDocument/2006/customXml" ds:itemID="{3AD84EA1-6F66-4A62-9DE9-EF345F00F252}">
  <ds:schemaRefs/>
</ds:datastoreItem>
</file>

<file path=customXml/itemProps121.xml><?xml version="1.0" encoding="utf-8"?>
<ds:datastoreItem xmlns:ds="http://schemas.openxmlformats.org/officeDocument/2006/customXml" ds:itemID="{AFD5AEBF-0748-4259-90B3-2BD9EA7BD8D6}">
  <ds:schemaRefs/>
</ds:datastoreItem>
</file>

<file path=customXml/itemProps122.xml><?xml version="1.0" encoding="utf-8"?>
<ds:datastoreItem xmlns:ds="http://schemas.openxmlformats.org/officeDocument/2006/customXml" ds:itemID="{520F2123-C371-4EE5-BD91-D3621CEA0305}">
  <ds:schemaRefs/>
</ds:datastoreItem>
</file>

<file path=customXml/itemProps123.xml><?xml version="1.0" encoding="utf-8"?>
<ds:datastoreItem xmlns:ds="http://schemas.openxmlformats.org/officeDocument/2006/customXml" ds:itemID="{E1769CEB-9DB5-4F72-92CE-69BD9F84A803}">
  <ds:schemaRefs/>
</ds:datastoreItem>
</file>

<file path=customXml/itemProps124.xml><?xml version="1.0" encoding="utf-8"?>
<ds:datastoreItem xmlns:ds="http://schemas.openxmlformats.org/officeDocument/2006/customXml" ds:itemID="{FC16864A-CD59-457F-AC59-8F4AA69F9C0A}">
  <ds:schemaRefs/>
</ds:datastoreItem>
</file>

<file path=customXml/itemProps125.xml><?xml version="1.0" encoding="utf-8"?>
<ds:datastoreItem xmlns:ds="http://schemas.openxmlformats.org/officeDocument/2006/customXml" ds:itemID="{3A923D5B-ED06-4CF8-8914-D734C1D72E4D}">
  <ds:schemaRefs/>
</ds:datastoreItem>
</file>

<file path=customXml/itemProps126.xml><?xml version="1.0" encoding="utf-8"?>
<ds:datastoreItem xmlns:ds="http://schemas.openxmlformats.org/officeDocument/2006/customXml" ds:itemID="{A5D5E94E-7855-4677-82C4-96D44955D811}">
  <ds:schemaRefs/>
</ds:datastoreItem>
</file>

<file path=customXml/itemProps127.xml><?xml version="1.0" encoding="utf-8"?>
<ds:datastoreItem xmlns:ds="http://schemas.openxmlformats.org/officeDocument/2006/customXml" ds:itemID="{676CE4C6-17B0-4E7B-84CE-8E424EFC97E9}">
  <ds:schemaRefs/>
</ds:datastoreItem>
</file>

<file path=customXml/itemProps128.xml><?xml version="1.0" encoding="utf-8"?>
<ds:datastoreItem xmlns:ds="http://schemas.openxmlformats.org/officeDocument/2006/customXml" ds:itemID="{E3EC2762-C64A-4F6A-9418-C2D4AA9A5247}">
  <ds:schemaRefs/>
</ds:datastoreItem>
</file>

<file path=customXml/itemProps129.xml><?xml version="1.0" encoding="utf-8"?>
<ds:datastoreItem xmlns:ds="http://schemas.openxmlformats.org/officeDocument/2006/customXml" ds:itemID="{EE8CD2BA-EAF8-4F05-94D5-060A85EA5547}">
  <ds:schemaRefs/>
</ds:datastoreItem>
</file>

<file path=customXml/itemProps130.xml><?xml version="1.0" encoding="utf-8"?>
<ds:datastoreItem xmlns:ds="http://schemas.openxmlformats.org/officeDocument/2006/customXml" ds:itemID="{1CD5A070-337E-4B4D-A3EB-16FAF44CFB0B}">
  <ds:schemaRefs/>
</ds:datastoreItem>
</file>

<file path=customXml/itemProps131.xml><?xml version="1.0" encoding="utf-8"?>
<ds:datastoreItem xmlns:ds="http://schemas.openxmlformats.org/officeDocument/2006/customXml" ds:itemID="{469ACAB4-98AA-4EDD-A1BF-15085ADF32F6}">
  <ds:schemaRefs/>
</ds:datastoreItem>
</file>

<file path=customXml/itemProps132.xml><?xml version="1.0" encoding="utf-8"?>
<ds:datastoreItem xmlns:ds="http://schemas.openxmlformats.org/officeDocument/2006/customXml" ds:itemID="{A904A0B3-B510-4B5B-A83E-541297CC14BC}">
  <ds:schemaRefs/>
</ds:datastoreItem>
</file>

<file path=customXml/itemProps133.xml><?xml version="1.0" encoding="utf-8"?>
<ds:datastoreItem xmlns:ds="http://schemas.openxmlformats.org/officeDocument/2006/customXml" ds:itemID="{32F6AB45-0F59-4335-8DB7-CB8CCC864B83}">
  <ds:schemaRefs/>
</ds:datastoreItem>
</file>

<file path=customXml/itemProps134.xml><?xml version="1.0" encoding="utf-8"?>
<ds:datastoreItem xmlns:ds="http://schemas.openxmlformats.org/officeDocument/2006/customXml" ds:itemID="{34EE6071-FC4B-4096-96A4-D31A4B4987DA}">
  <ds:schemaRefs/>
</ds:datastoreItem>
</file>

<file path=customXml/itemProps135.xml><?xml version="1.0" encoding="utf-8"?>
<ds:datastoreItem xmlns:ds="http://schemas.openxmlformats.org/officeDocument/2006/customXml" ds:itemID="{E52B3457-DE43-4D69-983E-7B714FB87ADD}">
  <ds:schemaRefs/>
</ds:datastoreItem>
</file>

<file path=customXml/itemProps136.xml><?xml version="1.0" encoding="utf-8"?>
<ds:datastoreItem xmlns:ds="http://schemas.openxmlformats.org/officeDocument/2006/customXml" ds:itemID="{41BAB267-F051-48C8-AA28-575A5866CF3E}">
  <ds:schemaRefs/>
</ds:datastoreItem>
</file>

<file path=customXml/itemProps137.xml><?xml version="1.0" encoding="utf-8"?>
<ds:datastoreItem xmlns:ds="http://schemas.openxmlformats.org/officeDocument/2006/customXml" ds:itemID="{1616D2F1-0D12-47AC-90ED-173985A86667}">
  <ds:schemaRefs/>
</ds:datastoreItem>
</file>

<file path=customXml/itemProps138.xml><?xml version="1.0" encoding="utf-8"?>
<ds:datastoreItem xmlns:ds="http://schemas.openxmlformats.org/officeDocument/2006/customXml" ds:itemID="{23E981A9-B969-495C-B82B-5E543799C618}">
  <ds:schemaRefs/>
</ds:datastoreItem>
</file>

<file path=customXml/itemProps139.xml><?xml version="1.0" encoding="utf-8"?>
<ds:datastoreItem xmlns:ds="http://schemas.openxmlformats.org/officeDocument/2006/customXml" ds:itemID="{808D9452-9A76-491B-836B-14F8F0FD57B9}">
  <ds:schemaRefs/>
</ds:datastoreItem>
</file>

<file path=customXml/itemProps140.xml><?xml version="1.0" encoding="utf-8"?>
<ds:datastoreItem xmlns:ds="http://schemas.openxmlformats.org/officeDocument/2006/customXml" ds:itemID="{E0DBDE7B-24D7-4137-A6B8-2CB3E541D09E}">
  <ds:schemaRefs/>
</ds:datastoreItem>
</file>

<file path=customXml/itemProps141.xml><?xml version="1.0" encoding="utf-8"?>
<ds:datastoreItem xmlns:ds="http://schemas.openxmlformats.org/officeDocument/2006/customXml" ds:itemID="{6A6CE567-2E68-43B3-940C-51C9EE525DFB}">
  <ds:schemaRefs/>
</ds:datastoreItem>
</file>

<file path=customXml/itemProps142.xml><?xml version="1.0" encoding="utf-8"?>
<ds:datastoreItem xmlns:ds="http://schemas.openxmlformats.org/officeDocument/2006/customXml" ds:itemID="{EB67F82A-6DE8-4893-9004-0DBD55434F77}">
  <ds:schemaRefs/>
</ds:datastoreItem>
</file>

<file path=customXml/itemProps143.xml><?xml version="1.0" encoding="utf-8"?>
<ds:datastoreItem xmlns:ds="http://schemas.openxmlformats.org/officeDocument/2006/customXml" ds:itemID="{3B234B4A-0696-4239-9392-03917456B091}">
  <ds:schemaRefs/>
</ds:datastoreItem>
</file>

<file path=customXml/itemProps144.xml><?xml version="1.0" encoding="utf-8"?>
<ds:datastoreItem xmlns:ds="http://schemas.openxmlformats.org/officeDocument/2006/customXml" ds:itemID="{AE32A5FA-B8BA-46FC-AD22-53A2849F328F}">
  <ds:schemaRefs/>
</ds:datastoreItem>
</file>

<file path=customXml/itemProps145.xml><?xml version="1.0" encoding="utf-8"?>
<ds:datastoreItem xmlns:ds="http://schemas.openxmlformats.org/officeDocument/2006/customXml" ds:itemID="{CFFE74EE-1C17-41A5-9130-B2F781C40958}">
  <ds:schemaRefs/>
</ds:datastoreItem>
</file>

<file path=customXml/itemProps146.xml><?xml version="1.0" encoding="utf-8"?>
<ds:datastoreItem xmlns:ds="http://schemas.openxmlformats.org/officeDocument/2006/customXml" ds:itemID="{1AFA2237-0EEA-4F66-8310-C4608F5B018B}">
  <ds:schemaRefs/>
</ds:datastoreItem>
</file>

<file path=customXml/itemProps147.xml><?xml version="1.0" encoding="utf-8"?>
<ds:datastoreItem xmlns:ds="http://schemas.openxmlformats.org/officeDocument/2006/customXml" ds:itemID="{D9E63EEB-3248-4649-A564-C29CE96A98FD}">
  <ds:schemaRefs/>
</ds:datastoreItem>
</file>

<file path=customXml/itemProps148.xml><?xml version="1.0" encoding="utf-8"?>
<ds:datastoreItem xmlns:ds="http://schemas.openxmlformats.org/officeDocument/2006/customXml" ds:itemID="{88874A4D-6F50-442E-8A36-D9EC99A352BF}">
  <ds:schemaRefs/>
</ds:datastoreItem>
</file>

<file path=customXml/itemProps149.xml><?xml version="1.0" encoding="utf-8"?>
<ds:datastoreItem xmlns:ds="http://schemas.openxmlformats.org/officeDocument/2006/customXml" ds:itemID="{E5D95D4B-737E-4228-8A9C-9620CA151710}">
  <ds:schemaRefs/>
</ds:datastoreItem>
</file>

<file path=customXml/itemProps150.xml><?xml version="1.0" encoding="utf-8"?>
<ds:datastoreItem xmlns:ds="http://schemas.openxmlformats.org/officeDocument/2006/customXml" ds:itemID="{79B7717E-E38C-456C-918B-0F5355160CD1}">
  <ds:schemaRefs/>
</ds:datastoreItem>
</file>

<file path=customXml/itemProps151.xml><?xml version="1.0" encoding="utf-8"?>
<ds:datastoreItem xmlns:ds="http://schemas.openxmlformats.org/officeDocument/2006/customXml" ds:itemID="{FFADC5FE-351D-467D-8D1E-E8D8BBC0039C}">
  <ds:schemaRefs/>
</ds:datastoreItem>
</file>

<file path=customXml/itemProps152.xml><?xml version="1.0" encoding="utf-8"?>
<ds:datastoreItem xmlns:ds="http://schemas.openxmlformats.org/officeDocument/2006/customXml" ds:itemID="{41D14260-E329-4EF7-960A-A02974EBAC38}">
  <ds:schemaRefs/>
</ds:datastoreItem>
</file>

<file path=customXml/itemProps153.xml><?xml version="1.0" encoding="utf-8"?>
<ds:datastoreItem xmlns:ds="http://schemas.openxmlformats.org/officeDocument/2006/customXml" ds:itemID="{99A3E7B3-F26F-4347-8EFD-49596CB47580}">
  <ds:schemaRefs/>
</ds:datastoreItem>
</file>

<file path=customXml/itemProps154.xml><?xml version="1.0" encoding="utf-8"?>
<ds:datastoreItem xmlns:ds="http://schemas.openxmlformats.org/officeDocument/2006/customXml" ds:itemID="{5E5327EF-225B-4D22-8AB6-F11B46E008DD}">
  <ds:schemaRefs/>
</ds:datastoreItem>
</file>

<file path=customXml/itemProps155.xml><?xml version="1.0" encoding="utf-8"?>
<ds:datastoreItem xmlns:ds="http://schemas.openxmlformats.org/officeDocument/2006/customXml" ds:itemID="{FC4316DB-4F26-4D7B-9511-B5038D4447D3}">
  <ds:schemaRefs/>
</ds:datastoreItem>
</file>

<file path=customXml/itemProps156.xml><?xml version="1.0" encoding="utf-8"?>
<ds:datastoreItem xmlns:ds="http://schemas.openxmlformats.org/officeDocument/2006/customXml" ds:itemID="{45FA3E73-ADB9-4BB7-B7B0-5A4A3068017E}">
  <ds:schemaRefs/>
</ds:datastoreItem>
</file>

<file path=customXml/itemProps157.xml><?xml version="1.0" encoding="utf-8"?>
<ds:datastoreItem xmlns:ds="http://schemas.openxmlformats.org/officeDocument/2006/customXml" ds:itemID="{422B3C81-0505-4A56-886D-F70B4930CBDB}">
  <ds:schemaRefs/>
</ds:datastoreItem>
</file>

<file path=customXml/itemProps158.xml><?xml version="1.0" encoding="utf-8"?>
<ds:datastoreItem xmlns:ds="http://schemas.openxmlformats.org/officeDocument/2006/customXml" ds:itemID="{BD7F5E18-D3F7-42C8-9A0D-A2730EAAEE7F}">
  <ds:schemaRefs/>
</ds:datastoreItem>
</file>

<file path=customXml/itemProps159.xml><?xml version="1.0" encoding="utf-8"?>
<ds:datastoreItem xmlns:ds="http://schemas.openxmlformats.org/officeDocument/2006/customXml" ds:itemID="{73F44D85-1892-483F-BDFC-CC8ABC01FCFA}">
  <ds:schemaRefs/>
</ds:datastoreItem>
</file>

<file path=customXml/itemProps160.xml><?xml version="1.0" encoding="utf-8"?>
<ds:datastoreItem xmlns:ds="http://schemas.openxmlformats.org/officeDocument/2006/customXml" ds:itemID="{A9061F3A-1ECE-4547-BB4B-AB35EB870AF5}">
  <ds:schemaRefs/>
</ds:datastoreItem>
</file>

<file path=customXml/itemProps161.xml><?xml version="1.0" encoding="utf-8"?>
<ds:datastoreItem xmlns:ds="http://schemas.openxmlformats.org/officeDocument/2006/customXml" ds:itemID="{3E5424D0-AD84-474B-9CAF-AA4D0CED5710}">
  <ds:schemaRefs/>
</ds:datastoreItem>
</file>

<file path=customXml/itemProps162.xml><?xml version="1.0" encoding="utf-8"?>
<ds:datastoreItem xmlns:ds="http://schemas.openxmlformats.org/officeDocument/2006/customXml" ds:itemID="{4B619ED7-AA00-4F46-A5ED-E351F1F5DA2D}">
  <ds:schemaRefs/>
</ds:datastoreItem>
</file>

<file path=customXml/itemProps163.xml><?xml version="1.0" encoding="utf-8"?>
<ds:datastoreItem xmlns:ds="http://schemas.openxmlformats.org/officeDocument/2006/customXml" ds:itemID="{6A89D971-8098-4133-9FE4-91894D11EED8}">
  <ds:schemaRefs/>
</ds:datastoreItem>
</file>

<file path=customXml/itemProps164.xml><?xml version="1.0" encoding="utf-8"?>
<ds:datastoreItem xmlns:ds="http://schemas.openxmlformats.org/officeDocument/2006/customXml" ds:itemID="{48C0D1F9-CDC0-470B-B1F9-F9DD97EF55BA}">
  <ds:schemaRefs/>
</ds:datastoreItem>
</file>

<file path=customXml/itemProps165.xml><?xml version="1.0" encoding="utf-8"?>
<ds:datastoreItem xmlns:ds="http://schemas.openxmlformats.org/officeDocument/2006/customXml" ds:itemID="{B2AC3AD3-7E1C-4AC2-8DBF-B49D75A4D8BC}">
  <ds:schemaRefs/>
</ds:datastoreItem>
</file>

<file path=customXml/itemProps166.xml><?xml version="1.0" encoding="utf-8"?>
<ds:datastoreItem xmlns:ds="http://schemas.openxmlformats.org/officeDocument/2006/customXml" ds:itemID="{8CFAE82F-DC07-4151-831A-17FEF5DFE0AC}">
  <ds:schemaRefs/>
</ds:datastoreItem>
</file>

<file path=customXml/itemProps167.xml><?xml version="1.0" encoding="utf-8"?>
<ds:datastoreItem xmlns:ds="http://schemas.openxmlformats.org/officeDocument/2006/customXml" ds:itemID="{0D896EC6-6AD9-46A5-88B9-54674565DF36}">
  <ds:schemaRefs/>
</ds:datastoreItem>
</file>

<file path=customXml/itemProps168.xml><?xml version="1.0" encoding="utf-8"?>
<ds:datastoreItem xmlns:ds="http://schemas.openxmlformats.org/officeDocument/2006/customXml" ds:itemID="{DAF10DCE-B342-4024-9D39-53D7E20335D6}">
  <ds:schemaRefs/>
</ds:datastoreItem>
</file>

<file path=customXml/itemProps169.xml><?xml version="1.0" encoding="utf-8"?>
<ds:datastoreItem xmlns:ds="http://schemas.openxmlformats.org/officeDocument/2006/customXml" ds:itemID="{504B9BED-53FC-42DD-9382-BF7EF689CD6F}">
  <ds:schemaRefs/>
</ds:datastoreItem>
</file>

<file path=customXml/itemProps170.xml><?xml version="1.0" encoding="utf-8"?>
<ds:datastoreItem xmlns:ds="http://schemas.openxmlformats.org/officeDocument/2006/customXml" ds:itemID="{1ED1CBA5-E447-49E3-AB29-CCD7F3140128}">
  <ds:schemaRefs/>
</ds:datastoreItem>
</file>

<file path=customXml/itemProps171.xml><?xml version="1.0" encoding="utf-8"?>
<ds:datastoreItem xmlns:ds="http://schemas.openxmlformats.org/officeDocument/2006/customXml" ds:itemID="{99C9F28B-7EAD-4B2A-80AA-64C793D94C9E}">
  <ds:schemaRefs/>
</ds:datastoreItem>
</file>

<file path=customXml/itemProps172.xml><?xml version="1.0" encoding="utf-8"?>
<ds:datastoreItem xmlns:ds="http://schemas.openxmlformats.org/officeDocument/2006/customXml" ds:itemID="{AB27904F-23BE-4F7B-BF3F-13A5E62436BF}">
  <ds:schemaRefs/>
</ds:datastoreItem>
</file>

<file path=customXml/itemProps173.xml><?xml version="1.0" encoding="utf-8"?>
<ds:datastoreItem xmlns:ds="http://schemas.openxmlformats.org/officeDocument/2006/customXml" ds:itemID="{2D0BEB05-71CB-4DF7-A38D-D75E5C80E70C}">
  <ds:schemaRefs/>
</ds:datastoreItem>
</file>

<file path=customXml/itemProps174.xml><?xml version="1.0" encoding="utf-8"?>
<ds:datastoreItem xmlns:ds="http://schemas.openxmlformats.org/officeDocument/2006/customXml" ds:itemID="{E1323408-3FF7-4E61-B377-473A3CB4585A}">
  <ds:schemaRefs/>
</ds:datastoreItem>
</file>

<file path=customXml/itemProps175.xml><?xml version="1.0" encoding="utf-8"?>
<ds:datastoreItem xmlns:ds="http://schemas.openxmlformats.org/officeDocument/2006/customXml" ds:itemID="{A526F426-0C95-4765-B14F-63110CAB649F}">
  <ds:schemaRefs/>
</ds:datastoreItem>
</file>

<file path=customXml/itemProps176.xml><?xml version="1.0" encoding="utf-8"?>
<ds:datastoreItem xmlns:ds="http://schemas.openxmlformats.org/officeDocument/2006/customXml" ds:itemID="{7A64B818-ADF2-4E39-AE85-7F3759002A3B}">
  <ds:schemaRefs/>
</ds:datastoreItem>
</file>

<file path=customXml/itemProps177.xml><?xml version="1.0" encoding="utf-8"?>
<ds:datastoreItem xmlns:ds="http://schemas.openxmlformats.org/officeDocument/2006/customXml" ds:itemID="{E1C65A49-9CFD-4205-8E30-5E9E038C07DE}">
  <ds:schemaRefs/>
</ds:datastoreItem>
</file>

<file path=customXml/itemProps178.xml><?xml version="1.0" encoding="utf-8"?>
<ds:datastoreItem xmlns:ds="http://schemas.openxmlformats.org/officeDocument/2006/customXml" ds:itemID="{B10C2B4A-3B0F-4068-977E-3E580FFC3F21}">
  <ds:schemaRefs/>
</ds:datastoreItem>
</file>

<file path=customXml/itemProps179.xml><?xml version="1.0" encoding="utf-8"?>
<ds:datastoreItem xmlns:ds="http://schemas.openxmlformats.org/officeDocument/2006/customXml" ds:itemID="{7AC29A95-A456-4A1C-A52E-B1CA48DB63C5}">
  <ds:schemaRefs/>
</ds:datastoreItem>
</file>

<file path=customXml/itemProps180.xml><?xml version="1.0" encoding="utf-8"?>
<ds:datastoreItem xmlns:ds="http://schemas.openxmlformats.org/officeDocument/2006/customXml" ds:itemID="{BDF5B7E9-6EAC-496B-B055-E4061B1B5419}">
  <ds:schemaRefs/>
</ds:datastoreItem>
</file>

<file path=customXml/itemProps181.xml><?xml version="1.0" encoding="utf-8"?>
<ds:datastoreItem xmlns:ds="http://schemas.openxmlformats.org/officeDocument/2006/customXml" ds:itemID="{84EF4843-67A8-45E3-9C24-59AFC3E9FA9E}">
  <ds:schemaRefs/>
</ds:datastoreItem>
</file>

<file path=customXml/itemProps182.xml><?xml version="1.0" encoding="utf-8"?>
<ds:datastoreItem xmlns:ds="http://schemas.openxmlformats.org/officeDocument/2006/customXml" ds:itemID="{7CCA7EE5-388C-4EAC-A5E1-47F43D963126}">
  <ds:schemaRefs/>
</ds:datastoreItem>
</file>

<file path=customXml/itemProps183.xml><?xml version="1.0" encoding="utf-8"?>
<ds:datastoreItem xmlns:ds="http://schemas.openxmlformats.org/officeDocument/2006/customXml" ds:itemID="{51F53C30-13C9-411E-8D57-61C4F01F8FE8}">
  <ds:schemaRefs/>
</ds:datastoreItem>
</file>

<file path=customXml/itemProps184.xml><?xml version="1.0" encoding="utf-8"?>
<ds:datastoreItem xmlns:ds="http://schemas.openxmlformats.org/officeDocument/2006/customXml" ds:itemID="{D35D9351-1C1A-4AA8-9C61-EE495B742EB8}">
  <ds:schemaRefs/>
</ds:datastoreItem>
</file>

<file path=customXml/itemProps185.xml><?xml version="1.0" encoding="utf-8"?>
<ds:datastoreItem xmlns:ds="http://schemas.openxmlformats.org/officeDocument/2006/customXml" ds:itemID="{F9C73FAA-C676-4657-AFD7-BB94B44F4203}">
  <ds:schemaRefs/>
</ds:datastoreItem>
</file>

<file path=customXml/itemProps186.xml><?xml version="1.0" encoding="utf-8"?>
<ds:datastoreItem xmlns:ds="http://schemas.openxmlformats.org/officeDocument/2006/customXml" ds:itemID="{2C3905F1-A4FC-49A5-A627-2E53C5CC7415}">
  <ds:schemaRefs/>
</ds:datastoreItem>
</file>

<file path=customXml/itemProps187.xml><?xml version="1.0" encoding="utf-8"?>
<ds:datastoreItem xmlns:ds="http://schemas.openxmlformats.org/officeDocument/2006/customXml" ds:itemID="{21515A9D-2BA1-4A0A-8C55-5BE84F67C0B8}">
  <ds:schemaRefs/>
</ds:datastoreItem>
</file>

<file path=customXml/itemProps188.xml><?xml version="1.0" encoding="utf-8"?>
<ds:datastoreItem xmlns:ds="http://schemas.openxmlformats.org/officeDocument/2006/customXml" ds:itemID="{CD2F3118-08E7-4B95-8DA6-FF065AF732D9}">
  <ds:schemaRefs/>
</ds:datastoreItem>
</file>

<file path=customXml/itemProps189.xml><?xml version="1.0" encoding="utf-8"?>
<ds:datastoreItem xmlns:ds="http://schemas.openxmlformats.org/officeDocument/2006/customXml" ds:itemID="{99368D11-6C02-49E2-B00C-169ECE1D3EC2}">
  <ds:schemaRefs/>
</ds:datastoreItem>
</file>

<file path=customXml/itemProps190.xml><?xml version="1.0" encoding="utf-8"?>
<ds:datastoreItem xmlns:ds="http://schemas.openxmlformats.org/officeDocument/2006/customXml" ds:itemID="{93B7BA04-4D0A-4A1C-9DA7-92B732595E19}">
  <ds:schemaRefs/>
</ds:datastoreItem>
</file>

<file path=customXml/itemProps191.xml><?xml version="1.0" encoding="utf-8"?>
<ds:datastoreItem xmlns:ds="http://schemas.openxmlformats.org/officeDocument/2006/customXml" ds:itemID="{BF08B2ED-7F3A-4A34-9084-2B62C1BEF50D}">
  <ds:schemaRefs/>
</ds:datastoreItem>
</file>

<file path=customXml/itemProps192.xml><?xml version="1.0" encoding="utf-8"?>
<ds:datastoreItem xmlns:ds="http://schemas.openxmlformats.org/officeDocument/2006/customXml" ds:itemID="{AD49BE85-4E85-4774-BB95-B709444DD735}">
  <ds:schemaRefs/>
</ds:datastoreItem>
</file>

<file path=customXml/itemProps193.xml><?xml version="1.0" encoding="utf-8"?>
<ds:datastoreItem xmlns:ds="http://schemas.openxmlformats.org/officeDocument/2006/customXml" ds:itemID="{56E37274-5EB4-43A7-B420-835B9005776D}">
  <ds:schemaRefs/>
</ds:datastoreItem>
</file>

<file path=customXml/itemProps194.xml><?xml version="1.0" encoding="utf-8"?>
<ds:datastoreItem xmlns:ds="http://schemas.openxmlformats.org/officeDocument/2006/customXml" ds:itemID="{47EAEC00-0450-41ED-8B25-B493200EAAE4}">
  <ds:schemaRefs/>
</ds:datastoreItem>
</file>

<file path=customXml/itemProps195.xml><?xml version="1.0" encoding="utf-8"?>
<ds:datastoreItem xmlns:ds="http://schemas.openxmlformats.org/officeDocument/2006/customXml" ds:itemID="{88E46063-F3C3-41BB-8510-7C45BC99E55D}">
  <ds:schemaRefs/>
</ds:datastoreItem>
</file>

<file path=customXml/itemProps196.xml><?xml version="1.0" encoding="utf-8"?>
<ds:datastoreItem xmlns:ds="http://schemas.openxmlformats.org/officeDocument/2006/customXml" ds:itemID="{A68B69A0-13A7-4823-B591-5EADEC3A6732}">
  <ds:schemaRefs/>
</ds:datastoreItem>
</file>

<file path=customXml/itemProps197.xml><?xml version="1.0" encoding="utf-8"?>
<ds:datastoreItem xmlns:ds="http://schemas.openxmlformats.org/officeDocument/2006/customXml" ds:itemID="{6D680DCD-964D-4E88-9A2F-C6DCC7A2F95F}">
  <ds:schemaRefs/>
</ds:datastoreItem>
</file>

<file path=customXml/itemProps198.xml><?xml version="1.0" encoding="utf-8"?>
<ds:datastoreItem xmlns:ds="http://schemas.openxmlformats.org/officeDocument/2006/customXml" ds:itemID="{68261FA9-3D7C-4D9E-B658-2805E4316A24}">
  <ds:schemaRefs/>
</ds:datastoreItem>
</file>

<file path=customXml/itemProps199.xml><?xml version="1.0" encoding="utf-8"?>
<ds:datastoreItem xmlns:ds="http://schemas.openxmlformats.org/officeDocument/2006/customXml" ds:itemID="{BD6450A0-8A16-4656-ADFE-74A4B6008D50}">
  <ds:schemaRefs/>
</ds:datastoreItem>
</file>

<file path=customXml/itemProps200.xml><?xml version="1.0" encoding="utf-8"?>
<ds:datastoreItem xmlns:ds="http://schemas.openxmlformats.org/officeDocument/2006/customXml" ds:itemID="{2E37FEA1-856C-4139-B9DB-EA7AEE2AD4E0}">
  <ds:schemaRefs/>
</ds:datastoreItem>
</file>

<file path=customXml/itemProps201.xml><?xml version="1.0" encoding="utf-8"?>
<ds:datastoreItem xmlns:ds="http://schemas.openxmlformats.org/officeDocument/2006/customXml" ds:itemID="{AA8E8DC6-2B8D-4BDF-BE29-BBF67832545B}">
  <ds:schemaRefs/>
</ds:datastoreItem>
</file>

<file path=customXml/itemProps202.xml><?xml version="1.0" encoding="utf-8"?>
<ds:datastoreItem xmlns:ds="http://schemas.openxmlformats.org/officeDocument/2006/customXml" ds:itemID="{DD90CD8F-2B0A-4C45-9817-FAD7464D0E68}">
  <ds:schemaRefs/>
</ds:datastoreItem>
</file>

<file path=customXml/itemProps203.xml><?xml version="1.0" encoding="utf-8"?>
<ds:datastoreItem xmlns:ds="http://schemas.openxmlformats.org/officeDocument/2006/customXml" ds:itemID="{62F7EB8D-C8DF-42DC-B7E9-E0935E27C407}">
  <ds:schemaRefs/>
</ds:datastoreItem>
</file>

<file path=customXml/itemProps204.xml><?xml version="1.0" encoding="utf-8"?>
<ds:datastoreItem xmlns:ds="http://schemas.openxmlformats.org/officeDocument/2006/customXml" ds:itemID="{E533207C-BE3A-4114-A06D-22D9A7D5B8CE}">
  <ds:schemaRefs/>
</ds:datastoreItem>
</file>

<file path=customXml/itemProps205.xml><?xml version="1.0" encoding="utf-8"?>
<ds:datastoreItem xmlns:ds="http://schemas.openxmlformats.org/officeDocument/2006/customXml" ds:itemID="{A66C631A-9AB8-4290-91CD-275131F636BA}">
  <ds:schemaRefs/>
</ds:datastoreItem>
</file>

<file path=customXml/itemProps206.xml><?xml version="1.0" encoding="utf-8"?>
<ds:datastoreItem xmlns:ds="http://schemas.openxmlformats.org/officeDocument/2006/customXml" ds:itemID="{A3DA882B-1B38-456D-9DD6-64E88A80827F}">
  <ds:schemaRefs/>
</ds:datastoreItem>
</file>

<file path=customXml/itemProps207.xml><?xml version="1.0" encoding="utf-8"?>
<ds:datastoreItem xmlns:ds="http://schemas.openxmlformats.org/officeDocument/2006/customXml" ds:itemID="{5A8EE5EC-82E2-44BB-8F2E-7EC11E7EA0B3}">
  <ds:schemaRefs/>
</ds:datastoreItem>
</file>

<file path=customXml/itemProps208.xml><?xml version="1.0" encoding="utf-8"?>
<ds:datastoreItem xmlns:ds="http://schemas.openxmlformats.org/officeDocument/2006/customXml" ds:itemID="{B9613458-8235-4D1A-92E2-804D266CB857}">
  <ds:schemaRefs/>
</ds:datastoreItem>
</file>

<file path=customXml/itemProps209.xml><?xml version="1.0" encoding="utf-8"?>
<ds:datastoreItem xmlns:ds="http://schemas.openxmlformats.org/officeDocument/2006/customXml" ds:itemID="{AECB407D-621A-4366-9E37-DCC99DF7A2B6}">
  <ds:schemaRefs/>
</ds:datastoreItem>
</file>

<file path=customXml/itemProps210.xml><?xml version="1.0" encoding="utf-8"?>
<ds:datastoreItem xmlns:ds="http://schemas.openxmlformats.org/officeDocument/2006/customXml" ds:itemID="{4A7BA7A3-7DB9-4ECA-B031-AC0CF172380A}">
  <ds:schemaRefs/>
</ds:datastoreItem>
</file>

<file path=customXml/itemProps211.xml><?xml version="1.0" encoding="utf-8"?>
<ds:datastoreItem xmlns:ds="http://schemas.openxmlformats.org/officeDocument/2006/customXml" ds:itemID="{3DAFEBD5-E773-4C61-97FB-094B2070E72D}">
  <ds:schemaRefs/>
</ds:datastoreItem>
</file>

<file path=customXml/itemProps212.xml><?xml version="1.0" encoding="utf-8"?>
<ds:datastoreItem xmlns:ds="http://schemas.openxmlformats.org/officeDocument/2006/customXml" ds:itemID="{E14D718F-8D00-4DD1-8013-EFAB2D2571AA}">
  <ds:schemaRefs/>
</ds:datastoreItem>
</file>

<file path=customXml/itemProps213.xml><?xml version="1.0" encoding="utf-8"?>
<ds:datastoreItem xmlns:ds="http://schemas.openxmlformats.org/officeDocument/2006/customXml" ds:itemID="{C34E5946-2B9D-4225-80A8-E0C3E56C1D82}">
  <ds:schemaRefs/>
</ds:datastoreItem>
</file>

<file path=customXml/itemProps214.xml><?xml version="1.0" encoding="utf-8"?>
<ds:datastoreItem xmlns:ds="http://schemas.openxmlformats.org/officeDocument/2006/customXml" ds:itemID="{8E941967-B6F8-45DA-AEFD-E1C630BB2498}">
  <ds:schemaRefs/>
</ds:datastoreItem>
</file>

<file path=customXml/itemProps215.xml><?xml version="1.0" encoding="utf-8"?>
<ds:datastoreItem xmlns:ds="http://schemas.openxmlformats.org/officeDocument/2006/customXml" ds:itemID="{D50757F3-88DA-4FC7-8174-E6797CA12A35}">
  <ds:schemaRefs/>
</ds:datastoreItem>
</file>

<file path=customXml/itemProps216.xml><?xml version="1.0" encoding="utf-8"?>
<ds:datastoreItem xmlns:ds="http://schemas.openxmlformats.org/officeDocument/2006/customXml" ds:itemID="{43BA8CE6-591B-4C7E-913D-161BB55C147B}">
  <ds:schemaRefs/>
</ds:datastoreItem>
</file>

<file path=customXml/itemProps217.xml><?xml version="1.0" encoding="utf-8"?>
<ds:datastoreItem xmlns:ds="http://schemas.openxmlformats.org/officeDocument/2006/customXml" ds:itemID="{6CB7CEF2-80D1-499C-BE47-1A3AEF9F04C9}">
  <ds:schemaRefs/>
</ds:datastoreItem>
</file>

<file path=customXml/itemProps218.xml><?xml version="1.0" encoding="utf-8"?>
<ds:datastoreItem xmlns:ds="http://schemas.openxmlformats.org/officeDocument/2006/customXml" ds:itemID="{11E0A912-0117-47D4-BFCB-9D8B36E2387E}">
  <ds:schemaRefs/>
</ds:datastoreItem>
</file>

<file path=customXml/itemProps219.xml><?xml version="1.0" encoding="utf-8"?>
<ds:datastoreItem xmlns:ds="http://schemas.openxmlformats.org/officeDocument/2006/customXml" ds:itemID="{97FC11D5-1B32-4558-90E2-955A161C94DE}">
  <ds:schemaRefs/>
</ds:datastoreItem>
</file>

<file path=customXml/itemProps220.xml><?xml version="1.0" encoding="utf-8"?>
<ds:datastoreItem xmlns:ds="http://schemas.openxmlformats.org/officeDocument/2006/customXml" ds:itemID="{908FAE92-1F43-46D6-A099-19A0C323EC85}">
  <ds:schemaRefs/>
</ds:datastoreItem>
</file>

<file path=customXml/itemProps221.xml><?xml version="1.0" encoding="utf-8"?>
<ds:datastoreItem xmlns:ds="http://schemas.openxmlformats.org/officeDocument/2006/customXml" ds:itemID="{7A8A2C9B-F94F-4451-B0F6-1D5B313006AA}">
  <ds:schemaRefs/>
</ds:datastoreItem>
</file>

<file path=customXml/itemProps222.xml><?xml version="1.0" encoding="utf-8"?>
<ds:datastoreItem xmlns:ds="http://schemas.openxmlformats.org/officeDocument/2006/customXml" ds:itemID="{6FCF00CB-E935-4917-8FFE-E1599C3D2087}">
  <ds:schemaRefs/>
</ds:datastoreItem>
</file>

<file path=customXml/itemProps223.xml><?xml version="1.0" encoding="utf-8"?>
<ds:datastoreItem xmlns:ds="http://schemas.openxmlformats.org/officeDocument/2006/customXml" ds:itemID="{37669EAB-4C66-43CE-97CD-18B3538F2BFE}">
  <ds:schemaRefs/>
</ds:datastoreItem>
</file>

<file path=customXml/itemProps224.xml><?xml version="1.0" encoding="utf-8"?>
<ds:datastoreItem xmlns:ds="http://schemas.openxmlformats.org/officeDocument/2006/customXml" ds:itemID="{994AA89E-1BA0-4DB6-B01A-7F3F23D46198}">
  <ds:schemaRefs/>
</ds:datastoreItem>
</file>

<file path=customXml/itemProps225.xml><?xml version="1.0" encoding="utf-8"?>
<ds:datastoreItem xmlns:ds="http://schemas.openxmlformats.org/officeDocument/2006/customXml" ds:itemID="{866E973E-16E3-412C-A609-6923EE0AE58F}">
  <ds:schemaRefs/>
</ds:datastoreItem>
</file>

<file path=customXml/itemProps226.xml><?xml version="1.0" encoding="utf-8"?>
<ds:datastoreItem xmlns:ds="http://schemas.openxmlformats.org/officeDocument/2006/customXml" ds:itemID="{3D358D4D-04DB-4448-92B4-5417E815E747}">
  <ds:schemaRefs>
    <ds:schemaRef ds:uri="http://www.w3.org/2001/XMLSchema"/>
    <ds:schemaRef ds:uri="http://microsoft.data.visualization.Client.Excel.LState/1.0"/>
  </ds:schemaRefs>
</ds:datastoreItem>
</file>

<file path=customXml/itemProps227.xml><?xml version="1.0" encoding="utf-8"?>
<ds:datastoreItem xmlns:ds="http://schemas.openxmlformats.org/officeDocument/2006/customXml" ds:itemID="{28B0B78B-0921-49C4-8471-DD08EE571735}">
  <ds:schemaRefs>
    <ds:schemaRef ds:uri="http://www.w3.org/2001/XMLSchema"/>
    <ds:schemaRef ds:uri="http://microsoft.data.visualization.Client.Excel.CustomMapList/1.0"/>
  </ds:schemaRefs>
</ds:datastoreItem>
</file>

<file path=customXml/itemProps228.xml><?xml version="1.0" encoding="utf-8"?>
<ds:datastoreItem xmlns:ds="http://schemas.openxmlformats.org/officeDocument/2006/customXml" ds:itemID="{7588FAE7-4DED-46D1-B565-F08FA1EAF79B}">
  <ds:schemaRefs/>
</ds:datastoreItem>
</file>

<file path=customXml/itemProps229.xml><?xml version="1.0" encoding="utf-8"?>
<ds:datastoreItem xmlns:ds="http://schemas.openxmlformats.org/officeDocument/2006/customXml" ds:itemID="{E1DA6229-264A-465E-BCF0-02518DFB2E18}">
  <ds:schemaRefs/>
</ds:datastoreItem>
</file>

<file path=customXml/itemProps230.xml><?xml version="1.0" encoding="utf-8"?>
<ds:datastoreItem xmlns:ds="http://schemas.openxmlformats.org/officeDocument/2006/customXml" ds:itemID="{F2D10049-A3CC-446B-BC87-29E3D953FB96}">
  <ds:schemaRefs/>
</ds:datastoreItem>
</file>

<file path=customXml/itemProps231.xml><?xml version="1.0" encoding="utf-8"?>
<ds:datastoreItem xmlns:ds="http://schemas.openxmlformats.org/officeDocument/2006/customXml" ds:itemID="{C6F48399-67F5-4E85-B58B-4659E6289BA6}">
  <ds:schemaRefs/>
</ds:datastoreItem>
</file>

<file path=customXml/itemProps232.xml><?xml version="1.0" encoding="utf-8"?>
<ds:datastoreItem xmlns:ds="http://schemas.openxmlformats.org/officeDocument/2006/customXml" ds:itemID="{2AE5F8BA-29BA-4663-8D6A-BE407F5FEB68}">
  <ds:schemaRefs/>
</ds:datastoreItem>
</file>

<file path=customXml/itemProps233.xml><?xml version="1.0" encoding="utf-8"?>
<ds:datastoreItem xmlns:ds="http://schemas.openxmlformats.org/officeDocument/2006/customXml" ds:itemID="{A1F4FBFF-D03D-47BA-9AE1-1B947BCC21EA}">
  <ds:schemaRefs/>
</ds:datastoreItem>
</file>

<file path=customXml/itemProps234.xml><?xml version="1.0" encoding="utf-8"?>
<ds:datastoreItem xmlns:ds="http://schemas.openxmlformats.org/officeDocument/2006/customXml" ds:itemID="{EB001F64-BC53-43CA-B421-561E019AD821}">
  <ds:schemaRefs/>
</ds:datastoreItem>
</file>

<file path=customXml/itemProps235.xml><?xml version="1.0" encoding="utf-8"?>
<ds:datastoreItem xmlns:ds="http://schemas.openxmlformats.org/officeDocument/2006/customXml" ds:itemID="{6705289E-670A-4A46-9687-065B35DFB68B}">
  <ds:schemaRefs/>
</ds:datastoreItem>
</file>

<file path=customXml/itemProps236.xml><?xml version="1.0" encoding="utf-8"?>
<ds:datastoreItem xmlns:ds="http://schemas.openxmlformats.org/officeDocument/2006/customXml" ds:itemID="{BFD1321D-7FB4-4E36-B199-79DD6D597915}">
  <ds:schemaRefs/>
</ds:datastoreItem>
</file>

<file path=customXml/itemProps237.xml><?xml version="1.0" encoding="utf-8"?>
<ds:datastoreItem xmlns:ds="http://schemas.openxmlformats.org/officeDocument/2006/customXml" ds:itemID="{B2236E55-4115-40DB-99AE-3BAC220A199A}">
  <ds:schemaRefs/>
</ds:datastoreItem>
</file>

<file path=customXml/itemProps238.xml><?xml version="1.0" encoding="utf-8"?>
<ds:datastoreItem xmlns:ds="http://schemas.openxmlformats.org/officeDocument/2006/customXml" ds:itemID="{B81D396A-6D2B-4D44-9087-BF82BA8AEB99}">
  <ds:schemaRefs/>
</ds:datastoreItem>
</file>

<file path=customXml/itemProps239.xml><?xml version="1.0" encoding="utf-8"?>
<ds:datastoreItem xmlns:ds="http://schemas.openxmlformats.org/officeDocument/2006/customXml" ds:itemID="{4333D3B8-E6B4-4E2C-887D-48FA2B3F86C4}">
  <ds:schemaRefs/>
</ds:datastoreItem>
</file>

<file path=customXml/itemProps240.xml><?xml version="1.0" encoding="utf-8"?>
<ds:datastoreItem xmlns:ds="http://schemas.openxmlformats.org/officeDocument/2006/customXml" ds:itemID="{0BE34D0E-2746-45DC-84D6-54FCD4E3C839}">
  <ds:schemaRefs/>
</ds:datastoreItem>
</file>

<file path=customXml/itemProps241.xml><?xml version="1.0" encoding="utf-8"?>
<ds:datastoreItem xmlns:ds="http://schemas.openxmlformats.org/officeDocument/2006/customXml" ds:itemID="{9A5D4308-1EBD-4A1A-B7E2-4228AAC630C6}">
  <ds:schemaRefs/>
</ds:datastoreItem>
</file>

<file path=customXml/itemProps242.xml><?xml version="1.0" encoding="utf-8"?>
<ds:datastoreItem xmlns:ds="http://schemas.openxmlformats.org/officeDocument/2006/customXml" ds:itemID="{8A194128-B9D1-49EC-ADAF-6193BBAF8459}">
  <ds:schemaRefs/>
</ds:datastoreItem>
</file>

<file path=customXml/itemProps243.xml><?xml version="1.0" encoding="utf-8"?>
<ds:datastoreItem xmlns:ds="http://schemas.openxmlformats.org/officeDocument/2006/customXml" ds:itemID="{AB11C3E7-ADA7-421E-ACD7-2F80A4ED1EA0}">
  <ds:schemaRefs/>
</ds:datastoreItem>
</file>

<file path=customXml/itemProps244.xml><?xml version="1.0" encoding="utf-8"?>
<ds:datastoreItem xmlns:ds="http://schemas.openxmlformats.org/officeDocument/2006/customXml" ds:itemID="{E471FF46-D940-4245-AD31-573F167B9D3C}">
  <ds:schemaRefs/>
</ds:datastoreItem>
</file>

<file path=customXml/itemProps245.xml><?xml version="1.0" encoding="utf-8"?>
<ds:datastoreItem xmlns:ds="http://schemas.openxmlformats.org/officeDocument/2006/customXml" ds:itemID="{F8DD60C8-14BE-4B9F-9E1D-1A8EA6FB3311}">
  <ds:schemaRefs/>
</ds:datastoreItem>
</file>

<file path=customXml/itemProps246.xml><?xml version="1.0" encoding="utf-8"?>
<ds:datastoreItem xmlns:ds="http://schemas.openxmlformats.org/officeDocument/2006/customXml" ds:itemID="{DB014C60-D4A5-4192-8CB5-FF911FC6E607}">
  <ds:schemaRefs/>
</ds:datastoreItem>
</file>

<file path=customXml/itemProps247.xml><?xml version="1.0" encoding="utf-8"?>
<ds:datastoreItem xmlns:ds="http://schemas.openxmlformats.org/officeDocument/2006/customXml" ds:itemID="{40AC1A06-72D3-4159-9885-21EF0DD0EB6C}">
  <ds:schemaRefs/>
</ds:datastoreItem>
</file>

<file path=customXml/itemProps248.xml><?xml version="1.0" encoding="utf-8"?>
<ds:datastoreItem xmlns:ds="http://schemas.openxmlformats.org/officeDocument/2006/customXml" ds:itemID="{D32929F5-3DCC-414A-9010-B0D8468EBF0F}">
  <ds:schemaRefs/>
</ds:datastoreItem>
</file>

<file path=customXml/itemProps249.xml><?xml version="1.0" encoding="utf-8"?>
<ds:datastoreItem xmlns:ds="http://schemas.openxmlformats.org/officeDocument/2006/customXml" ds:itemID="{8E727205-B239-4737-9950-40753AEF832A}">
  <ds:schemaRefs/>
</ds:datastoreItem>
</file>

<file path=customXml/itemProps250.xml><?xml version="1.0" encoding="utf-8"?>
<ds:datastoreItem xmlns:ds="http://schemas.openxmlformats.org/officeDocument/2006/customXml" ds:itemID="{A333CF51-B8EC-40CF-B78D-27AAC9B2DD8B}">
  <ds:schemaRefs/>
</ds:datastoreItem>
</file>

<file path=customXml/itemProps251.xml><?xml version="1.0" encoding="utf-8"?>
<ds:datastoreItem xmlns:ds="http://schemas.openxmlformats.org/officeDocument/2006/customXml" ds:itemID="{AB9DED92-4ACB-4D6F-95E4-DE302B05E71F}">
  <ds:schemaRefs/>
</ds:datastoreItem>
</file>

<file path=customXml/itemProps252.xml><?xml version="1.0" encoding="utf-8"?>
<ds:datastoreItem xmlns:ds="http://schemas.openxmlformats.org/officeDocument/2006/customXml" ds:itemID="{552D760B-EC2F-4DF2-98B2-7D1A9FA35B5F}">
  <ds:schemaRefs/>
</ds:datastoreItem>
</file>

<file path=customXml/itemProps253.xml><?xml version="1.0" encoding="utf-8"?>
<ds:datastoreItem xmlns:ds="http://schemas.openxmlformats.org/officeDocument/2006/customXml" ds:itemID="{2922F0E0-A5EF-4CDD-BBC5-E37B8165520F}">
  <ds:schemaRefs/>
</ds:datastoreItem>
</file>

<file path=customXml/itemProps254.xml><?xml version="1.0" encoding="utf-8"?>
<ds:datastoreItem xmlns:ds="http://schemas.openxmlformats.org/officeDocument/2006/customXml" ds:itemID="{93096139-6AC2-4257-AED8-B42EDECBB4AB}">
  <ds:schemaRefs/>
</ds:datastoreItem>
</file>

<file path=customXml/itemProps255.xml><?xml version="1.0" encoding="utf-8"?>
<ds:datastoreItem xmlns:ds="http://schemas.openxmlformats.org/officeDocument/2006/customXml" ds:itemID="{9DA15FFD-8EF9-4717-BE5F-FF2CD334810B}">
  <ds:schemaRefs/>
</ds:datastoreItem>
</file>

<file path=customXml/itemProps256.xml><?xml version="1.0" encoding="utf-8"?>
<ds:datastoreItem xmlns:ds="http://schemas.openxmlformats.org/officeDocument/2006/customXml" ds:itemID="{7C14CFE5-18BD-4A2F-B5D8-CC58C5C75C33}">
  <ds:schemaRefs/>
</ds:datastoreItem>
</file>

<file path=customXml/itemProps257.xml><?xml version="1.0" encoding="utf-8"?>
<ds:datastoreItem xmlns:ds="http://schemas.openxmlformats.org/officeDocument/2006/customXml" ds:itemID="{4C82FD12-376E-4F86-B8A8-C589C0956713}">
  <ds:schemaRefs/>
</ds:datastoreItem>
</file>

<file path=customXml/itemProps258.xml><?xml version="1.0" encoding="utf-8"?>
<ds:datastoreItem xmlns:ds="http://schemas.openxmlformats.org/officeDocument/2006/customXml" ds:itemID="{0530B8BC-7253-4200-AFF9-9B3B0258F509}">
  <ds:schemaRefs/>
</ds:datastoreItem>
</file>

<file path=customXml/itemProps259.xml><?xml version="1.0" encoding="utf-8"?>
<ds:datastoreItem xmlns:ds="http://schemas.openxmlformats.org/officeDocument/2006/customXml" ds:itemID="{8CBA6297-B7AA-4D97-B3A3-F526F4D8F491}">
  <ds:schemaRefs>
    <ds:schemaRef ds:uri="http://www.w3.org/2001/XMLSchema"/>
    <ds:schemaRef ds:uri="http://microsoft.data.visualization.engine.tours/1.0"/>
  </ds:schemaRefs>
</ds:datastoreItem>
</file>

<file path=customXml/itemProps260.xml><?xml version="1.0" encoding="utf-8"?>
<ds:datastoreItem xmlns:ds="http://schemas.openxmlformats.org/officeDocument/2006/customXml" ds:itemID="{D75EC377-693F-4C06-8CAE-C27DFD5FD4EF}">
  <ds:schemaRefs/>
</ds:datastoreItem>
</file>

<file path=customXml/itemProps261.xml><?xml version="1.0" encoding="utf-8"?>
<ds:datastoreItem xmlns:ds="http://schemas.openxmlformats.org/officeDocument/2006/customXml" ds:itemID="{AEC1C82C-517A-43AA-B7AA-81887EC8E73D}">
  <ds:schemaRefs/>
</ds:datastoreItem>
</file>

<file path=customXml/itemProps262.xml><?xml version="1.0" encoding="utf-8"?>
<ds:datastoreItem xmlns:ds="http://schemas.openxmlformats.org/officeDocument/2006/customXml" ds:itemID="{E86C397E-4CD5-46BD-8376-3DE79EEE153B}">
  <ds:schemaRefs/>
</ds:datastoreItem>
</file>

<file path=customXml/itemProps263.xml><?xml version="1.0" encoding="utf-8"?>
<ds:datastoreItem xmlns:ds="http://schemas.openxmlformats.org/officeDocument/2006/customXml" ds:itemID="{78346D83-9C6C-4499-97B3-17C387E2D0E4}">
  <ds:schemaRefs/>
</ds:datastoreItem>
</file>

<file path=customXml/itemProps264.xml><?xml version="1.0" encoding="utf-8"?>
<ds:datastoreItem xmlns:ds="http://schemas.openxmlformats.org/officeDocument/2006/customXml" ds:itemID="{A11E85FC-3828-4BCB-BBE3-647A9C972C97}">
  <ds:schemaRefs/>
</ds:datastoreItem>
</file>

<file path=customXml/itemProps265.xml><?xml version="1.0" encoding="utf-8"?>
<ds:datastoreItem xmlns:ds="http://schemas.openxmlformats.org/officeDocument/2006/customXml" ds:itemID="{EA636410-2140-4EDD-AB35-4A5464987E1A}">
  <ds:schemaRefs/>
</ds:datastoreItem>
</file>

<file path=customXml/itemProps266.xml><?xml version="1.0" encoding="utf-8"?>
<ds:datastoreItem xmlns:ds="http://schemas.openxmlformats.org/officeDocument/2006/customXml" ds:itemID="{B2FB7D35-2CBB-465E-9099-90590B9286A5}">
  <ds:schemaRefs/>
</ds:datastoreItem>
</file>

<file path=customXml/itemProps267.xml><?xml version="1.0" encoding="utf-8"?>
<ds:datastoreItem xmlns:ds="http://schemas.openxmlformats.org/officeDocument/2006/customXml" ds:itemID="{08979DB1-810F-4249-B837-ADDABADEEEB8}">
  <ds:schemaRefs/>
</ds:datastoreItem>
</file>

<file path=customXml/itemProps268.xml><?xml version="1.0" encoding="utf-8"?>
<ds:datastoreItem xmlns:ds="http://schemas.openxmlformats.org/officeDocument/2006/customXml" ds:itemID="{F55706EB-6904-4C17-BF73-45AE61EAC5EC}">
  <ds:schemaRefs/>
</ds:datastoreItem>
</file>

<file path=customXml/itemProps269.xml><?xml version="1.0" encoding="utf-8"?>
<ds:datastoreItem xmlns:ds="http://schemas.openxmlformats.org/officeDocument/2006/customXml" ds:itemID="{48852517-6FF3-462D-B5D9-854FA19340A6}">
  <ds:schemaRefs/>
</ds:datastoreItem>
</file>

<file path=customXml/itemProps270.xml><?xml version="1.0" encoding="utf-8"?>
<ds:datastoreItem xmlns:ds="http://schemas.openxmlformats.org/officeDocument/2006/customXml" ds:itemID="{A65FD6E7-28B9-413D-82BF-3BA1EFB33B2F}">
  <ds:schemaRefs/>
</ds:datastoreItem>
</file>

<file path=customXml/itemProps271.xml><?xml version="1.0" encoding="utf-8"?>
<ds:datastoreItem xmlns:ds="http://schemas.openxmlformats.org/officeDocument/2006/customXml" ds:itemID="{11315F1E-CA6F-40CF-9751-E60FC241BB7E}">
  <ds:schemaRefs/>
</ds:datastoreItem>
</file>

<file path=customXml/itemProps272.xml><?xml version="1.0" encoding="utf-8"?>
<ds:datastoreItem xmlns:ds="http://schemas.openxmlformats.org/officeDocument/2006/customXml" ds:itemID="{685F2D8A-5DBA-412A-AA1A-268BB6E4A12B}">
  <ds:schemaRefs/>
</ds:datastoreItem>
</file>

<file path=customXml/itemProps273.xml><?xml version="1.0" encoding="utf-8"?>
<ds:datastoreItem xmlns:ds="http://schemas.openxmlformats.org/officeDocument/2006/customXml" ds:itemID="{322F7AEC-7E7F-443B-82EC-24299B9DA18B}">
  <ds:schemaRefs/>
</ds:datastoreItem>
</file>

<file path=customXml/itemProps274.xml><?xml version="1.0" encoding="utf-8"?>
<ds:datastoreItem xmlns:ds="http://schemas.openxmlformats.org/officeDocument/2006/customXml" ds:itemID="{83770D2B-D9DF-4A07-A802-61FF6D768EF4}">
  <ds:schemaRefs/>
</ds:datastoreItem>
</file>

<file path=customXml/itemProps275.xml><?xml version="1.0" encoding="utf-8"?>
<ds:datastoreItem xmlns:ds="http://schemas.openxmlformats.org/officeDocument/2006/customXml" ds:itemID="{A588B9CC-AFE6-418C-B4CA-1CB670B608D8}">
  <ds:schemaRefs/>
</ds:datastoreItem>
</file>

<file path=customXml/itemProps276.xml><?xml version="1.0" encoding="utf-8"?>
<ds:datastoreItem xmlns:ds="http://schemas.openxmlformats.org/officeDocument/2006/customXml" ds:itemID="{18C40777-35D3-4760-BC72-5CF54962CD7A}">
  <ds:schemaRefs/>
</ds:datastoreItem>
</file>

<file path=customXml/itemProps277.xml><?xml version="1.0" encoding="utf-8"?>
<ds:datastoreItem xmlns:ds="http://schemas.openxmlformats.org/officeDocument/2006/customXml" ds:itemID="{56475F32-2FEA-425F-A4E8-3EB168634F9B}">
  <ds:schemaRefs/>
</ds:datastoreItem>
</file>

<file path=customXml/itemProps278.xml><?xml version="1.0" encoding="utf-8"?>
<ds:datastoreItem xmlns:ds="http://schemas.openxmlformats.org/officeDocument/2006/customXml" ds:itemID="{49DCDECE-BEE3-48BB-B1B6-E6C7BC95BA26}">
  <ds:schemaRefs/>
</ds:datastoreItem>
</file>

<file path=customXml/itemProps279.xml><?xml version="1.0" encoding="utf-8"?>
<ds:datastoreItem xmlns:ds="http://schemas.openxmlformats.org/officeDocument/2006/customXml" ds:itemID="{E8AAE387-7C59-4884-8C19-B7327268EA0D}">
  <ds:schemaRefs/>
</ds:datastoreItem>
</file>

<file path=customXml/itemProps280.xml><?xml version="1.0" encoding="utf-8"?>
<ds:datastoreItem xmlns:ds="http://schemas.openxmlformats.org/officeDocument/2006/customXml" ds:itemID="{6ED8C1CA-103A-4B9B-8A6F-F2DCC1388F48}">
  <ds:schemaRefs/>
</ds:datastoreItem>
</file>

<file path=customXml/itemProps281.xml><?xml version="1.0" encoding="utf-8"?>
<ds:datastoreItem xmlns:ds="http://schemas.openxmlformats.org/officeDocument/2006/customXml" ds:itemID="{136B750B-2261-488F-AAB6-49DB43A2EA65}">
  <ds:schemaRefs/>
</ds:datastoreItem>
</file>

<file path=customXml/itemProps282.xml><?xml version="1.0" encoding="utf-8"?>
<ds:datastoreItem xmlns:ds="http://schemas.openxmlformats.org/officeDocument/2006/customXml" ds:itemID="{A89EB220-374D-459F-BE90-93423C507221}">
  <ds:schemaRefs/>
</ds:datastoreItem>
</file>

<file path=customXml/itemProps283.xml><?xml version="1.0" encoding="utf-8"?>
<ds:datastoreItem xmlns:ds="http://schemas.openxmlformats.org/officeDocument/2006/customXml" ds:itemID="{B623BC4C-C08D-490E-BD0B-A30C24313B9A}">
  <ds:schemaRefs/>
</ds:datastoreItem>
</file>

<file path=customXml/itemProps284.xml><?xml version="1.0" encoding="utf-8"?>
<ds:datastoreItem xmlns:ds="http://schemas.openxmlformats.org/officeDocument/2006/customXml" ds:itemID="{5AF5176D-12FF-4227-A49A-981EEA3C4506}">
  <ds:schemaRefs/>
</ds:datastoreItem>
</file>

<file path=customXml/itemProps285.xml><?xml version="1.0" encoding="utf-8"?>
<ds:datastoreItem xmlns:ds="http://schemas.openxmlformats.org/officeDocument/2006/customXml" ds:itemID="{99F96DFE-7363-4EAC-8B72-7259DD3CF8E6}">
  <ds:schemaRefs/>
</ds:datastoreItem>
</file>

<file path=customXml/itemProps286.xml><?xml version="1.0" encoding="utf-8"?>
<ds:datastoreItem xmlns:ds="http://schemas.openxmlformats.org/officeDocument/2006/customXml" ds:itemID="{6A46DA27-4518-443A-B443-73F6556004AD}">
  <ds:schemaRefs/>
</ds:datastoreItem>
</file>

<file path=customXml/itemProps287.xml><?xml version="1.0" encoding="utf-8"?>
<ds:datastoreItem xmlns:ds="http://schemas.openxmlformats.org/officeDocument/2006/customXml" ds:itemID="{D4E2A501-0341-4D5E-8B77-ED38227CDE10}">
  <ds:schemaRefs/>
</ds:datastoreItem>
</file>

<file path=customXml/itemProps288.xml><?xml version="1.0" encoding="utf-8"?>
<ds:datastoreItem xmlns:ds="http://schemas.openxmlformats.org/officeDocument/2006/customXml" ds:itemID="{1A7908EE-8FD5-40F3-B2E7-9AABCCCDA4CC}">
  <ds:schemaRefs/>
</ds:datastoreItem>
</file>

<file path=customXml/itemProps289.xml><?xml version="1.0" encoding="utf-8"?>
<ds:datastoreItem xmlns:ds="http://schemas.openxmlformats.org/officeDocument/2006/customXml" ds:itemID="{12E1E34F-E531-4F1C-8039-B8C1F9978D20}">
  <ds:schemaRefs/>
</ds:datastoreItem>
</file>

<file path=customXml/itemProps290.xml><?xml version="1.0" encoding="utf-8"?>
<ds:datastoreItem xmlns:ds="http://schemas.openxmlformats.org/officeDocument/2006/customXml" ds:itemID="{51EC9D0C-69E9-41DF-B384-64A22D3C3890}">
  <ds:schemaRefs/>
</ds:datastoreItem>
</file>

<file path=customXml/itemProps291.xml><?xml version="1.0" encoding="utf-8"?>
<ds:datastoreItem xmlns:ds="http://schemas.openxmlformats.org/officeDocument/2006/customXml" ds:itemID="{43777DB2-CDEA-4BE8-8E6C-15F603CE794B}">
  <ds:schemaRefs/>
</ds:datastoreItem>
</file>

<file path=customXml/itemProps292.xml><?xml version="1.0" encoding="utf-8"?>
<ds:datastoreItem xmlns:ds="http://schemas.openxmlformats.org/officeDocument/2006/customXml" ds:itemID="{FC4531D4-4257-4982-9FB0-738A57E48BE9}">
  <ds:schemaRefs/>
</ds:datastoreItem>
</file>

<file path=customXml/itemProps293.xml><?xml version="1.0" encoding="utf-8"?>
<ds:datastoreItem xmlns:ds="http://schemas.openxmlformats.org/officeDocument/2006/customXml" ds:itemID="{CB950BC3-684B-450C-8CCE-213412A4E77C}">
  <ds:schemaRefs/>
</ds:datastoreItem>
</file>

<file path=customXml/itemProps294.xml><?xml version="1.0" encoding="utf-8"?>
<ds:datastoreItem xmlns:ds="http://schemas.openxmlformats.org/officeDocument/2006/customXml" ds:itemID="{02FF1D45-6358-4072-9855-46C04C97D99D}">
  <ds:schemaRefs/>
</ds:datastoreItem>
</file>

<file path=customXml/itemProps295.xml><?xml version="1.0" encoding="utf-8"?>
<ds:datastoreItem xmlns:ds="http://schemas.openxmlformats.org/officeDocument/2006/customXml" ds:itemID="{5B229DF5-4A5E-4453-98B0-81353687F101}">
  <ds:schemaRefs/>
</ds:datastoreItem>
</file>

<file path=customXml/itemProps296.xml><?xml version="1.0" encoding="utf-8"?>
<ds:datastoreItem xmlns:ds="http://schemas.openxmlformats.org/officeDocument/2006/customXml" ds:itemID="{8F75CB86-84C4-40D4-84CB-8FF8BFC44F19}">
  <ds:schemaRefs/>
</ds:datastoreItem>
</file>

<file path=customXml/itemProps297.xml><?xml version="1.0" encoding="utf-8"?>
<ds:datastoreItem xmlns:ds="http://schemas.openxmlformats.org/officeDocument/2006/customXml" ds:itemID="{DDDC4727-1AE4-4AFA-BC50-693D26F26307}">
  <ds:schemaRefs/>
</ds:datastoreItem>
</file>

<file path=customXml/itemProps298.xml><?xml version="1.0" encoding="utf-8"?>
<ds:datastoreItem xmlns:ds="http://schemas.openxmlformats.org/officeDocument/2006/customXml" ds:itemID="{C217FD84-A688-4C63-83E4-6712BD369FF3}">
  <ds:schemaRefs/>
</ds:datastoreItem>
</file>

<file path=customXml/itemProps299.xml><?xml version="1.0" encoding="utf-8"?>
<ds:datastoreItem xmlns:ds="http://schemas.openxmlformats.org/officeDocument/2006/customXml" ds:itemID="{DC89007A-165A-4B1D-A2B3-25930096D0B8}">
  <ds:schemaRefs/>
</ds:datastoreItem>
</file>

<file path=customXml/itemProps300.xml><?xml version="1.0" encoding="utf-8"?>
<ds:datastoreItem xmlns:ds="http://schemas.openxmlformats.org/officeDocument/2006/customXml" ds:itemID="{68890C7D-3615-4B12-82D5-3143969657B4}">
  <ds:schemaRefs/>
</ds:datastoreItem>
</file>

<file path=customXml/itemProps301.xml><?xml version="1.0" encoding="utf-8"?>
<ds:datastoreItem xmlns:ds="http://schemas.openxmlformats.org/officeDocument/2006/customXml" ds:itemID="{5B057A11-A577-44E1-80FE-9C6A6E2FC122}">
  <ds:schemaRefs/>
</ds:datastoreItem>
</file>

<file path=customXml/itemProps302.xml><?xml version="1.0" encoding="utf-8"?>
<ds:datastoreItem xmlns:ds="http://schemas.openxmlformats.org/officeDocument/2006/customXml" ds:itemID="{48BA657C-406C-421B-A0E5-5DB850EC39F2}">
  <ds:schemaRefs/>
</ds:datastoreItem>
</file>

<file path=customXml/itemProps303.xml><?xml version="1.0" encoding="utf-8"?>
<ds:datastoreItem xmlns:ds="http://schemas.openxmlformats.org/officeDocument/2006/customXml" ds:itemID="{F6E01239-25BE-4AB3-80BF-5F9FF3D8BDD8}">
  <ds:schemaRefs/>
</ds:datastoreItem>
</file>

<file path=customXml/itemProps304.xml><?xml version="1.0" encoding="utf-8"?>
<ds:datastoreItem xmlns:ds="http://schemas.openxmlformats.org/officeDocument/2006/customXml" ds:itemID="{39FDC873-F870-4601-A88C-6A8620C80643}">
  <ds:schemaRefs/>
</ds:datastoreItem>
</file>

<file path=customXml/itemProps305.xml><?xml version="1.0" encoding="utf-8"?>
<ds:datastoreItem xmlns:ds="http://schemas.openxmlformats.org/officeDocument/2006/customXml" ds:itemID="{C9A2EF45-7B6A-4B47-B95A-3563BAEE6A28}">
  <ds:schemaRefs/>
</ds:datastoreItem>
</file>

<file path=customXml/itemProps306.xml><?xml version="1.0" encoding="utf-8"?>
<ds:datastoreItem xmlns:ds="http://schemas.openxmlformats.org/officeDocument/2006/customXml" ds:itemID="{9B66C0C2-003C-4CBD-8FF8-CC2571C1E3FD}">
  <ds:schemaRefs/>
</ds:datastoreItem>
</file>

<file path=customXml/itemProps307.xml><?xml version="1.0" encoding="utf-8"?>
<ds:datastoreItem xmlns:ds="http://schemas.openxmlformats.org/officeDocument/2006/customXml" ds:itemID="{B4D9DB99-CA89-4737-A0BC-C59801C33327}">
  <ds:schemaRefs/>
</ds:datastoreItem>
</file>

<file path=customXml/itemProps308.xml><?xml version="1.0" encoding="utf-8"?>
<ds:datastoreItem xmlns:ds="http://schemas.openxmlformats.org/officeDocument/2006/customXml" ds:itemID="{3FB705ED-05B8-4E45-81A3-222A774FA697}">
  <ds:schemaRefs/>
</ds:datastoreItem>
</file>

<file path=customXml/itemProps309.xml><?xml version="1.0" encoding="utf-8"?>
<ds:datastoreItem xmlns:ds="http://schemas.openxmlformats.org/officeDocument/2006/customXml" ds:itemID="{1E1A07D0-F42E-4A72-8E8C-D8D38082768F}">
  <ds:schemaRefs/>
</ds:datastoreItem>
</file>

<file path=customXml/itemProps310.xml><?xml version="1.0" encoding="utf-8"?>
<ds:datastoreItem xmlns:ds="http://schemas.openxmlformats.org/officeDocument/2006/customXml" ds:itemID="{3B6298AB-20DC-411F-9E31-F0B03CC44808}">
  <ds:schemaRefs/>
</ds:datastoreItem>
</file>

<file path=customXml/itemProps311.xml><?xml version="1.0" encoding="utf-8"?>
<ds:datastoreItem xmlns:ds="http://schemas.openxmlformats.org/officeDocument/2006/customXml" ds:itemID="{3EEE992C-0E78-4D9E-8680-B3E97206A7F0}">
  <ds:schemaRefs>
    <ds:schemaRef ds:uri="http://www.w3.org/2001/XMLSchema"/>
    <ds:schemaRef ds:uri="http://microsoft.data.visualization.Client.Excel.PState/1.0"/>
  </ds:schemaRefs>
</ds:datastoreItem>
</file>

<file path=customXml/itemProps312.xml><?xml version="1.0" encoding="utf-8"?>
<ds:datastoreItem xmlns:ds="http://schemas.openxmlformats.org/officeDocument/2006/customXml" ds:itemID="{8D41657F-75F9-4D37-8DD1-57FBDF39F640}">
  <ds:schemaRefs/>
</ds:datastoreItem>
</file>

<file path=customXml/itemProps313.xml><?xml version="1.0" encoding="utf-8"?>
<ds:datastoreItem xmlns:ds="http://schemas.openxmlformats.org/officeDocument/2006/customXml" ds:itemID="{F5E4F980-EB5D-40AB-8C0F-0F6FCDDFEAF5}">
  <ds:schemaRefs/>
</ds:datastoreItem>
</file>

<file path=customXml/itemProps314.xml><?xml version="1.0" encoding="utf-8"?>
<ds:datastoreItem xmlns:ds="http://schemas.openxmlformats.org/officeDocument/2006/customXml" ds:itemID="{D7DE779D-AE78-467D-8165-94B18D88652C}">
  <ds:schemaRefs/>
</ds:datastoreItem>
</file>

<file path=customXml/itemProps315.xml><?xml version="1.0" encoding="utf-8"?>
<ds:datastoreItem xmlns:ds="http://schemas.openxmlformats.org/officeDocument/2006/customXml" ds:itemID="{649A9709-F54A-4D9E-AE01-6F7E9CB908F3}">
  <ds:schemaRefs/>
</ds:datastoreItem>
</file>

<file path=customXml/itemProps316.xml><?xml version="1.0" encoding="utf-8"?>
<ds:datastoreItem xmlns:ds="http://schemas.openxmlformats.org/officeDocument/2006/customXml" ds:itemID="{5467F2B8-5899-4590-820A-0558F3BAF991}">
  <ds:schemaRefs/>
</ds:datastoreItem>
</file>

<file path=customXml/itemProps317.xml><?xml version="1.0" encoding="utf-8"?>
<ds:datastoreItem xmlns:ds="http://schemas.openxmlformats.org/officeDocument/2006/customXml" ds:itemID="{7F6054FF-BCBA-46D9-90B5-A5AD330F0663}">
  <ds:schemaRefs/>
</ds:datastoreItem>
</file>

<file path=customXml/itemProps318.xml><?xml version="1.0" encoding="utf-8"?>
<ds:datastoreItem xmlns:ds="http://schemas.openxmlformats.org/officeDocument/2006/customXml" ds:itemID="{C183CC85-752F-463A-B5D2-A9FBBDEBA407}">
  <ds:schemaRefs/>
</ds:datastoreItem>
</file>

<file path=customXml/itemProps319.xml><?xml version="1.0" encoding="utf-8"?>
<ds:datastoreItem xmlns:ds="http://schemas.openxmlformats.org/officeDocument/2006/customXml" ds:itemID="{1586613E-344B-4CF0-81EC-670C0EC45140}">
  <ds:schemaRefs/>
</ds:datastoreItem>
</file>

<file path=customXml/itemProps320.xml><?xml version="1.0" encoding="utf-8"?>
<ds:datastoreItem xmlns:ds="http://schemas.openxmlformats.org/officeDocument/2006/customXml" ds:itemID="{FE215DC8-1A6B-419F-8969-25DC139AAC2E}">
  <ds:schemaRefs/>
</ds:datastoreItem>
</file>

<file path=customXml/itemProps321.xml><?xml version="1.0" encoding="utf-8"?>
<ds:datastoreItem xmlns:ds="http://schemas.openxmlformats.org/officeDocument/2006/customXml" ds:itemID="{3EEB2C56-86B4-4C01-8721-15C99BB9A60F}">
  <ds:schemaRefs/>
</ds:datastoreItem>
</file>

<file path=customXml/itemProps322.xml><?xml version="1.0" encoding="utf-8"?>
<ds:datastoreItem xmlns:ds="http://schemas.openxmlformats.org/officeDocument/2006/customXml" ds:itemID="{6E042812-5EF9-44D8-9D89-8071147677D2}">
  <ds:schemaRefs/>
</ds:datastoreItem>
</file>

<file path=customXml/itemProps323.xml><?xml version="1.0" encoding="utf-8"?>
<ds:datastoreItem xmlns:ds="http://schemas.openxmlformats.org/officeDocument/2006/customXml" ds:itemID="{CBD5C666-116E-4D22-9BD6-C8E9665F646A}">
  <ds:schemaRefs/>
</ds:datastoreItem>
</file>

<file path=customXml/itemProps324.xml><?xml version="1.0" encoding="utf-8"?>
<ds:datastoreItem xmlns:ds="http://schemas.openxmlformats.org/officeDocument/2006/customXml" ds:itemID="{CF297705-A368-4225-9F1C-268291DCC01F}">
  <ds:schemaRefs/>
</ds:datastoreItem>
</file>

<file path=customXml/itemProps325.xml><?xml version="1.0" encoding="utf-8"?>
<ds:datastoreItem xmlns:ds="http://schemas.openxmlformats.org/officeDocument/2006/customXml" ds:itemID="{F7FFCE05-98E3-4C2C-A00A-4735EE9F1388}">
  <ds:schemaRefs/>
</ds:datastoreItem>
</file>

<file path=customXml/itemProps326.xml><?xml version="1.0" encoding="utf-8"?>
<ds:datastoreItem xmlns:ds="http://schemas.openxmlformats.org/officeDocument/2006/customXml" ds:itemID="{906C3B80-1CDC-4D7F-9FB1-6FF50BFDA17A}">
  <ds:schemaRefs/>
</ds:datastoreItem>
</file>

<file path=customXml/itemProps327.xml><?xml version="1.0" encoding="utf-8"?>
<ds:datastoreItem xmlns:ds="http://schemas.openxmlformats.org/officeDocument/2006/customXml" ds:itemID="{8FF3260C-712C-44D8-A7FA-FB1811F87B1D}">
  <ds:schemaRefs/>
</ds:datastoreItem>
</file>

<file path=customXml/itemProps328.xml><?xml version="1.0" encoding="utf-8"?>
<ds:datastoreItem xmlns:ds="http://schemas.openxmlformats.org/officeDocument/2006/customXml" ds:itemID="{8D59414D-4B8C-425C-BD4B-C649AC0F92A9}">
  <ds:schemaRefs/>
</ds:datastoreItem>
</file>

<file path=customXml/itemProps329.xml><?xml version="1.0" encoding="utf-8"?>
<ds:datastoreItem xmlns:ds="http://schemas.openxmlformats.org/officeDocument/2006/customXml" ds:itemID="{5B77B3AA-C33B-4E86-84F1-4DDF1E31F814}">
  <ds:schemaRefs/>
</ds:datastoreItem>
</file>

<file path=customXml/itemProps330.xml><?xml version="1.0" encoding="utf-8"?>
<ds:datastoreItem xmlns:ds="http://schemas.openxmlformats.org/officeDocument/2006/customXml" ds:itemID="{74EBC1F1-4351-4388-99A5-6FC325E027FB}">
  <ds:schemaRefs/>
</ds:datastoreItem>
</file>

<file path=customXml/itemProps331.xml><?xml version="1.0" encoding="utf-8"?>
<ds:datastoreItem xmlns:ds="http://schemas.openxmlformats.org/officeDocument/2006/customXml" ds:itemID="{EBC38995-20D2-4E9D-8885-7F1A649D0D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22</vt:i4>
      </vt:variant>
      <vt:variant>
        <vt:lpstr>Navngivne områder</vt:lpstr>
      </vt:variant>
      <vt:variant>
        <vt:i4>14</vt:i4>
      </vt:variant>
    </vt:vector>
  </HeadingPairs>
  <TitlesOfParts>
    <vt:vector size="36" baseType="lpstr">
      <vt:lpstr>✍️ Fact_Ordre</vt:lpstr>
      <vt:lpstr>✍️ Dim1_OrdreStatus</vt:lpstr>
      <vt:lpstr>🎫 Dim1_Billet</vt:lpstr>
      <vt:lpstr>🎫 Dim2_EventAar</vt:lpstr>
      <vt:lpstr>🎫 Dim3_Event</vt:lpstr>
      <vt:lpstr>🎫 Dim2_BilletKat</vt:lpstr>
      <vt:lpstr>🎫 Dim2_BilletDisciplin</vt:lpstr>
      <vt:lpstr>🎫 Dim2_BilletRække</vt:lpstr>
      <vt:lpstr>🎫 Dim2_BilletSpilformat</vt:lpstr>
      <vt:lpstr>🎫 Dim1_OrdreFoersteTid</vt:lpstr>
      <vt:lpstr>🎫 Dim1_OrdreKat</vt:lpstr>
      <vt:lpstr>🛖 Dim1_Klub</vt:lpstr>
      <vt:lpstr>🛖 Dim2_KlubLandsdel</vt:lpstr>
      <vt:lpstr>🛖 Dim2_KlubRegion</vt:lpstr>
      <vt:lpstr>👤 Dim1_DeltKoen</vt:lpstr>
      <vt:lpstr>💪 Dim1_DeltSlutspil</vt:lpstr>
      <vt:lpstr>💪 Dim1_DeltPlacering</vt:lpstr>
      <vt:lpstr>💪 Dim1_DeltRating</vt:lpstr>
      <vt:lpstr>📅 Dim1_DeltAlderKat</vt:lpstr>
      <vt:lpstr>👤 Dim1_DeltKat</vt:lpstr>
      <vt:lpstr>🔃 Dim1_DeltGenKat</vt:lpstr>
      <vt:lpstr>Inputstatus</vt:lpstr>
      <vt:lpstr>tbl_Billettype_d2</vt:lpstr>
      <vt:lpstr>tbl_Bordtennisklub_d1</vt:lpstr>
      <vt:lpstr>tbl_Disciplin_d2</vt:lpstr>
      <vt:lpstr>tbl_Event_d3</vt:lpstr>
      <vt:lpstr>tbl_Event_år_billettype_d1</vt:lpstr>
      <vt:lpstr>tbl_Event_år_d2</vt:lpstr>
      <vt:lpstr>tbl_Køn_d1</vt:lpstr>
      <vt:lpstr>tbl_Landsdel_d2</vt:lpstr>
      <vt:lpstr>tbl_Placering_d1</vt:lpstr>
      <vt:lpstr>tbl_Region_d2</vt:lpstr>
      <vt:lpstr>tbl_Række_d2</vt:lpstr>
      <vt:lpstr>tbl_Slutspil_d1</vt:lpstr>
      <vt:lpstr>tbl_Spilformat_d2</vt:lpstr>
      <vt:lpstr>tbl_Tilmeldingsstatus_d1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Sørensen</dc:creator>
  <cp:lastModifiedBy>Annsofie Sommer</cp:lastModifiedBy>
  <cp:lastPrinted>2024-02-02T18:25:54Z</cp:lastPrinted>
  <dcterms:created xsi:type="dcterms:W3CDTF">2018-07-22T12:15:40Z</dcterms:created>
  <dcterms:modified xsi:type="dcterms:W3CDTF">2026-02-01T13:41:02Z</dcterms:modified>
</cp:coreProperties>
</file>